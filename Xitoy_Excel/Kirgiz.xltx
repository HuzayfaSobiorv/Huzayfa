
<file path=[Content_Types].xml><?xml version="1.0" encoding="utf-8"?>
<Types xmlns="http://schemas.openxmlformats.org/package/2006/content-types">
  <Default Extension="fntdata" ContentType="application/x-fontdata"/>
  <Default Extension="jpeg" ContentType="image/jpeg"/>
  <Default Extension="png" ContentType="image/png"/>
  <Default Extension="rels" ContentType="application/vnd.openxmlformats-package.relationships+xml"/>
  <Default Extension="xml" ContentType="application/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book.xml" ContentType="application/vnd.openxmlformats-officedocument.spreadsheetml.template.main+xml"/>
  <Override PartName="/xl/theme/theme1.xml" ContentType="application/vnd.openxmlformats-officedocument.theme+xml"/>
  <Override PartName="/xl/sharedStrings.xml" ContentType="application/vnd.openxmlformats-officedocument.spreadsheetml.sharedString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
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>
  <fileVersion appName="Calc" lowestEdited="4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Лист1" sheetId="1" state="visible" r:id="rId3"/>
  </sheets>
  <calcPr iterateCount="100" refMode="A1" iterate="false" iterateDelta="0.001"/>
  <extLst>
    <ext xmlns:loext="http://schemas.libreoffice.org/" uri="{7626C862-2A13-11E5-B345-FEFF819CDC9F}">
      <loext:extCalcPr stringRefSyntax="CalcA1"/>
    </ext>
  </extLst>
</workbook>
</file>

<file path=xl/sharedStrings.xml><?xml version="1.0" encoding="utf-8"?>
<sst xmlns="http://schemas.openxmlformats.org/spreadsheetml/2006/main" count="63" uniqueCount="39">
  <si>
    <t xml:space="preserve">序号</t>
  </si>
  <si>
    <t xml:space="preserve">规格</t>
  </si>
  <si>
    <t xml:space="preserve">实厚</t>
  </si>
  <si>
    <t xml:space="preserve">长度</t>
  </si>
  <si>
    <t xml:space="preserve">支重（kg）</t>
  </si>
  <si>
    <t xml:space="preserve">总支数</t>
  </si>
  <si>
    <t xml:space="preserve">重量（kg）</t>
  </si>
  <si>
    <t xml:space="preserve">单价</t>
  </si>
  <si>
    <t xml:space="preserve">加工费</t>
  </si>
  <si>
    <t xml:space="preserve">价格</t>
  </si>
  <si>
    <t xml:space="preserve">订单Uzbek</t>
  </si>
  <si>
    <r>
      <rPr>
        <b val="true"/>
        <sz val="11"/>
        <rFont val="宋体"/>
        <family val="0"/>
        <charset val="134"/>
      </rPr>
      <t xml:space="preserve">库存Ombor</t>
    </r>
    <r>
      <rPr>
        <b val="true"/>
        <sz val="11"/>
        <rFont val="Times New Roman"/>
        <family val="0"/>
        <charset val="134"/>
      </rPr>
      <t xml:space="preserve">​</t>
    </r>
  </si>
  <si>
    <t xml:space="preserve">加单</t>
  </si>
  <si>
    <r>
      <rPr>
        <b val="true"/>
        <sz val="12"/>
        <rFont val="SimSun"/>
        <family val="0"/>
        <charset val="134"/>
      </rPr>
      <t xml:space="preserve">KB</t>
    </r>
    <r>
      <rPr>
        <sz val="12"/>
        <rFont val="SimSun"/>
        <family val="0"/>
        <charset val="134"/>
      </rPr>
      <t xml:space="preserve"> </t>
    </r>
    <r>
      <rPr>
        <b val="true"/>
        <sz val="12"/>
        <rFont val="SimSun"/>
        <family val="0"/>
        <charset val="134"/>
      </rPr>
      <t xml:space="preserve">20x20</t>
    </r>
    <r>
      <rPr>
        <sz val="12"/>
        <rFont val="SimSun"/>
        <family val="0"/>
        <charset val="134"/>
      </rPr>
      <t xml:space="preserve"> </t>
    </r>
    <r>
      <rPr>
        <b val="true"/>
        <sz val="12"/>
        <color rgb="FFFF0000"/>
        <rFont val="SimSun"/>
        <family val="0"/>
        <charset val="134"/>
      </rPr>
      <t xml:space="preserve">CT</t>
    </r>
    <r>
      <rPr>
        <sz val="12"/>
        <color rgb="FFFF0000"/>
        <rFont val="SimSun"/>
        <family val="0"/>
        <charset val="134"/>
      </rPr>
      <t xml:space="preserve"> </t>
    </r>
    <r>
      <rPr>
        <b val="true"/>
        <sz val="12"/>
        <color rgb="FFFF0000"/>
        <rFont val="SimSun"/>
        <family val="0"/>
        <charset val="134"/>
      </rPr>
      <t xml:space="preserve">0.65吉尔吉斯</t>
    </r>
    <r>
      <rPr>
        <b val="true"/>
        <sz val="12"/>
        <color rgb="FFFF0000"/>
        <rFont val="宋体-简"/>
        <family val="0"/>
        <charset val="134"/>
      </rPr>
      <t xml:space="preserve">Қ</t>
    </r>
    <r>
      <rPr>
        <b val="true"/>
        <sz val="12"/>
        <color rgb="FFFF0000"/>
        <rFont val="SimSun"/>
        <family val="0"/>
        <charset val="134"/>
      </rPr>
      <t xml:space="preserve">ир</t>
    </r>
    <r>
      <rPr>
        <b val="true"/>
        <sz val="12"/>
        <color rgb="FFFF0000"/>
        <rFont val="宋体-简"/>
        <family val="0"/>
        <charset val="134"/>
      </rPr>
      <t xml:space="preserve">ғ</t>
    </r>
    <r>
      <rPr>
        <b val="true"/>
        <sz val="12"/>
        <color rgb="FFFF0000"/>
        <rFont val="SimSun"/>
        <family val="0"/>
        <charset val="134"/>
      </rPr>
      <t xml:space="preserve">из</t>
    </r>
  </si>
  <si>
    <t xml:space="preserve">6M</t>
  </si>
  <si>
    <r>
      <rPr>
        <b val="true"/>
        <sz val="12"/>
        <rFont val="SimSun"/>
        <family val="0"/>
        <charset val="134"/>
      </rPr>
      <t xml:space="preserve">φ25 </t>
    </r>
    <r>
      <rPr>
        <b val="true"/>
        <sz val="12"/>
        <color rgb="FFFF0008"/>
        <rFont val="SimSun"/>
        <family val="0"/>
        <charset val="134"/>
      </rPr>
      <t xml:space="preserve">cT 0.85 吉尔吉斯</t>
    </r>
    <r>
      <rPr>
        <b val="true"/>
        <sz val="12"/>
        <color rgb="FFFF0008"/>
        <rFont val="宋体-简"/>
        <family val="0"/>
        <charset val="134"/>
      </rPr>
      <t xml:space="preserve">Қ</t>
    </r>
    <r>
      <rPr>
        <b val="true"/>
        <sz val="12"/>
        <color rgb="FFFF0008"/>
        <rFont val="SimSun"/>
        <family val="0"/>
        <charset val="134"/>
      </rPr>
      <t xml:space="preserve">ир</t>
    </r>
    <r>
      <rPr>
        <b val="true"/>
        <sz val="12"/>
        <color rgb="FFFF0008"/>
        <rFont val="宋体-简"/>
        <family val="0"/>
        <charset val="134"/>
      </rPr>
      <t xml:space="preserve">ғ</t>
    </r>
    <r>
      <rPr>
        <b val="true"/>
        <sz val="12"/>
        <color rgb="FFFF0008"/>
        <rFont val="SimSun"/>
        <family val="0"/>
        <charset val="134"/>
      </rPr>
      <t xml:space="preserve">из</t>
    </r>
  </si>
  <si>
    <r>
      <rPr>
        <b val="true"/>
        <sz val="12"/>
        <rFont val="SimSun"/>
        <family val="0"/>
        <charset val="134"/>
      </rPr>
      <t xml:space="preserve">φ51 cT 0.85 吉尔吉斯</t>
    </r>
    <r>
      <rPr>
        <b val="true"/>
        <sz val="12"/>
        <rFont val="Arial"/>
        <family val="0"/>
        <charset val="134"/>
      </rPr>
      <t xml:space="preserve">Қирғиз</t>
    </r>
  </si>
  <si>
    <r>
      <rPr>
        <b val="true"/>
        <sz val="12"/>
        <rFont val="SimSun"/>
        <family val="0"/>
        <charset val="134"/>
      </rPr>
      <t xml:space="preserve">φ38 </t>
    </r>
    <r>
      <rPr>
        <b val="true"/>
        <sz val="12"/>
        <color rgb="FFC00000"/>
        <rFont val="SimSun"/>
        <family val="0"/>
        <charset val="134"/>
      </rPr>
      <t xml:space="preserve">cT 0.85 吉尔吉斯</t>
    </r>
    <r>
      <rPr>
        <b val="true"/>
        <sz val="12"/>
        <color rgb="FFC00000"/>
        <rFont val="Arial"/>
        <family val="0"/>
        <charset val="134"/>
      </rPr>
      <t xml:space="preserve">Қирғиз</t>
    </r>
  </si>
  <si>
    <r>
      <rPr>
        <b val="true"/>
        <sz val="12"/>
        <rFont val="SimSun"/>
        <family val="0"/>
        <charset val="134"/>
      </rPr>
      <t xml:space="preserve">φ32 </t>
    </r>
    <r>
      <rPr>
        <b val="true"/>
        <sz val="12"/>
        <color rgb="FFC00000"/>
        <rFont val="SimSun"/>
        <family val="0"/>
        <charset val="134"/>
      </rPr>
      <t xml:space="preserve">cT 0.85 吉尔吉斯</t>
    </r>
    <r>
      <rPr>
        <b val="true"/>
        <sz val="12"/>
        <color rgb="FFC00000"/>
        <rFont val="Arial"/>
        <family val="0"/>
        <charset val="134"/>
      </rPr>
      <t xml:space="preserve">Қирғиз</t>
    </r>
  </si>
  <si>
    <r>
      <rPr>
        <b val="true"/>
        <sz val="12"/>
        <rFont val="SimSun"/>
        <family val="0"/>
        <charset val="134"/>
      </rPr>
      <t xml:space="preserve">φ63 </t>
    </r>
    <r>
      <rPr>
        <b val="true"/>
        <sz val="12"/>
        <color rgb="FFC00000"/>
        <rFont val="SimSun"/>
        <family val="0"/>
        <charset val="134"/>
      </rPr>
      <t xml:space="preserve">cT 0.85 吉尔吉斯</t>
    </r>
    <r>
      <rPr>
        <b val="true"/>
        <sz val="12"/>
        <color rgb="FFC00000"/>
        <rFont val="Arial"/>
        <family val="0"/>
        <charset val="134"/>
      </rPr>
      <t xml:space="preserve">Қирғиз</t>
    </r>
  </si>
  <si>
    <r>
      <rPr>
        <b val="true"/>
        <sz val="12"/>
        <rFont val="SimSun"/>
        <family val="0"/>
        <charset val="134"/>
      </rPr>
      <t xml:space="preserve">φ76 </t>
    </r>
    <r>
      <rPr>
        <b val="true"/>
        <sz val="12"/>
        <color rgb="FFC00000"/>
        <rFont val="SimSun"/>
        <family val="0"/>
        <charset val="134"/>
      </rPr>
      <t xml:space="preserve">cT 0.85 吉尔吉斯斯</t>
    </r>
    <r>
      <rPr>
        <b val="true"/>
        <sz val="12"/>
        <color rgb="FFC00000"/>
        <rFont val="Arial"/>
        <family val="0"/>
        <charset val="134"/>
      </rPr>
      <t xml:space="preserve">Қирғиз</t>
    </r>
  </si>
  <si>
    <r>
      <rPr>
        <b val="true"/>
        <sz val="12"/>
        <rFont val="SimSun"/>
        <family val="0"/>
        <charset val="134"/>
      </rPr>
      <t xml:space="preserve">φ89</t>
    </r>
    <r>
      <rPr>
        <sz val="12"/>
        <rFont val="SimSun"/>
        <family val="0"/>
        <charset val="134"/>
      </rPr>
      <t xml:space="preserve"> </t>
    </r>
    <r>
      <rPr>
        <b val="true"/>
        <sz val="12"/>
        <color rgb="FFFF0008"/>
        <rFont val="SimSun"/>
        <family val="0"/>
        <charset val="134"/>
      </rPr>
      <t xml:space="preserve">cT</t>
    </r>
    <r>
      <rPr>
        <sz val="12"/>
        <color rgb="FFFF0008"/>
        <rFont val="SimSun"/>
        <family val="0"/>
        <charset val="134"/>
      </rPr>
      <t xml:space="preserve"> </t>
    </r>
    <r>
      <rPr>
        <b val="true"/>
        <sz val="12"/>
        <color rgb="FFFF0008"/>
        <rFont val="SimSun"/>
        <family val="0"/>
        <charset val="134"/>
      </rPr>
      <t xml:space="preserve">1.05 吉尔吉斯</t>
    </r>
    <r>
      <rPr>
        <b val="true"/>
        <sz val="12"/>
        <color rgb="FFFF0008"/>
        <rFont val="Arial"/>
        <family val="0"/>
        <charset val="134"/>
      </rPr>
      <t xml:space="preserve">Қирғиз</t>
    </r>
  </si>
  <si>
    <r>
      <rPr>
        <b val="true"/>
        <sz val="12"/>
        <rFont val="SimSun"/>
        <family val="0"/>
        <charset val="134"/>
      </rPr>
      <t xml:space="preserve">φ102</t>
    </r>
    <r>
      <rPr>
        <sz val="12"/>
        <rFont val="SimSun"/>
        <family val="0"/>
        <charset val="134"/>
      </rPr>
      <t xml:space="preserve"> </t>
    </r>
    <r>
      <rPr>
        <b val="true"/>
        <sz val="12"/>
        <color rgb="FFFF0008"/>
        <rFont val="SimSun"/>
        <family val="0"/>
        <charset val="134"/>
      </rPr>
      <t xml:space="preserve">cT</t>
    </r>
    <r>
      <rPr>
        <sz val="12"/>
        <color rgb="FFFF0008"/>
        <rFont val="SimSun"/>
        <family val="0"/>
        <charset val="134"/>
      </rPr>
      <t xml:space="preserve"> </t>
    </r>
    <r>
      <rPr>
        <b val="true"/>
        <sz val="12"/>
        <color rgb="FFFF0008"/>
        <rFont val="SimSun"/>
        <family val="0"/>
        <charset val="134"/>
      </rPr>
      <t xml:space="preserve">1.35 吉尔吉斯</t>
    </r>
    <r>
      <rPr>
        <b val="true"/>
        <sz val="12"/>
        <color rgb="FFFF0008"/>
        <rFont val="Arial"/>
        <family val="0"/>
        <charset val="134"/>
      </rPr>
      <t xml:space="preserve">Қирғиз</t>
    </r>
  </si>
  <si>
    <r>
      <rPr>
        <b val="true"/>
        <sz val="12"/>
        <rFont val="SimSun"/>
        <family val="0"/>
        <charset val="134"/>
      </rPr>
      <t xml:space="preserve">φ159</t>
    </r>
    <r>
      <rPr>
        <sz val="12"/>
        <rFont val="SimSun"/>
        <family val="0"/>
        <charset val="134"/>
      </rPr>
      <t xml:space="preserve"> </t>
    </r>
    <r>
      <rPr>
        <b val="true"/>
        <sz val="12"/>
        <color rgb="FFFF0008"/>
        <rFont val="SimSun"/>
        <family val="0"/>
        <charset val="134"/>
      </rPr>
      <t xml:space="preserve">cT</t>
    </r>
    <r>
      <rPr>
        <sz val="12"/>
        <color rgb="FFFF0008"/>
        <rFont val="SimSun"/>
        <family val="0"/>
        <charset val="134"/>
      </rPr>
      <t xml:space="preserve"> </t>
    </r>
    <r>
      <rPr>
        <b val="true"/>
        <sz val="12"/>
        <color rgb="FFFF0008"/>
        <rFont val="SimSun"/>
        <family val="0"/>
        <charset val="134"/>
      </rPr>
      <t xml:space="preserve">1.85 吉尔吉斯</t>
    </r>
    <r>
      <rPr>
        <b val="true"/>
        <sz val="12"/>
        <color rgb="FFFF0008"/>
        <rFont val="Arial"/>
        <family val="0"/>
        <charset val="134"/>
      </rPr>
      <t xml:space="preserve">Қирғиз</t>
    </r>
  </si>
  <si>
    <r>
      <rPr>
        <b val="true"/>
        <sz val="12"/>
        <rFont val="SimSun"/>
        <family val="0"/>
        <charset val="134"/>
      </rPr>
      <t xml:space="preserve">φ16</t>
    </r>
    <r>
      <rPr>
        <sz val="12"/>
        <rFont val="SimSun"/>
        <family val="0"/>
        <charset val="134"/>
      </rPr>
      <t xml:space="preserve"> </t>
    </r>
    <r>
      <rPr>
        <b val="true"/>
        <sz val="12"/>
        <color rgb="FFFF0008"/>
        <rFont val="SimSun"/>
        <family val="0"/>
        <charset val="134"/>
      </rPr>
      <t xml:space="preserve">cT</t>
    </r>
    <r>
      <rPr>
        <sz val="12"/>
        <color rgb="FFFF0008"/>
        <rFont val="SimSun"/>
        <family val="0"/>
        <charset val="134"/>
      </rPr>
      <t xml:space="preserve"> </t>
    </r>
    <r>
      <rPr>
        <b val="true"/>
        <sz val="12"/>
        <color rgb="FFFF0008"/>
        <rFont val="SimSun"/>
        <family val="0"/>
        <charset val="134"/>
      </rPr>
      <t xml:space="preserve">0,65 吉尔吉斯</t>
    </r>
    <r>
      <rPr>
        <b val="true"/>
        <sz val="12"/>
        <color rgb="FFFF0008"/>
        <rFont val="Arial"/>
        <family val="0"/>
        <charset val="134"/>
      </rPr>
      <t xml:space="preserve">Қирғиз</t>
    </r>
  </si>
  <si>
    <r>
      <rPr>
        <b val="true"/>
        <sz val="12"/>
        <rFont val="SimSun"/>
        <family val="0"/>
        <charset val="134"/>
      </rPr>
      <t xml:space="preserve">φ19</t>
    </r>
    <r>
      <rPr>
        <sz val="12"/>
        <rFont val="SimSun"/>
        <family val="0"/>
        <charset val="134"/>
      </rPr>
      <t xml:space="preserve"> </t>
    </r>
    <r>
      <rPr>
        <b val="true"/>
        <sz val="12"/>
        <color rgb="FFFF0008"/>
        <rFont val="SimSun"/>
        <family val="0"/>
        <charset val="134"/>
      </rPr>
      <t xml:space="preserve">cT</t>
    </r>
    <r>
      <rPr>
        <sz val="12"/>
        <color rgb="FFFF0008"/>
        <rFont val="SimSun"/>
        <family val="0"/>
        <charset val="134"/>
      </rPr>
      <t xml:space="preserve"> </t>
    </r>
    <r>
      <rPr>
        <b val="true"/>
        <sz val="12"/>
        <color rgb="FFFF0008"/>
        <rFont val="SimSun"/>
        <family val="0"/>
        <charset val="134"/>
      </rPr>
      <t xml:space="preserve">0,65 Apkoh 吉尔吉斯</t>
    </r>
    <r>
      <rPr>
        <b val="true"/>
        <sz val="12"/>
        <color rgb="FFFF0008"/>
        <rFont val="Arial"/>
        <family val="0"/>
        <charset val="134"/>
      </rPr>
      <t xml:space="preserve">Қирғиз</t>
    </r>
  </si>
  <si>
    <r>
      <rPr>
        <b val="true"/>
        <sz val="12"/>
        <rFont val="SimSun"/>
        <family val="0"/>
        <charset val="134"/>
      </rPr>
      <t xml:space="preserve">φ51 </t>
    </r>
    <r>
      <rPr>
        <b val="true"/>
        <sz val="12"/>
        <color rgb="FFC00000"/>
        <rFont val="SimSun"/>
        <family val="0"/>
        <charset val="134"/>
      </rPr>
      <t xml:space="preserve">cT 1.15 吉尔吉斯</t>
    </r>
    <r>
      <rPr>
        <b val="true"/>
        <sz val="12"/>
        <color rgb="FFC00000"/>
        <rFont val="Arial"/>
        <family val="0"/>
        <charset val="134"/>
      </rPr>
      <t xml:space="preserve">Қирғиз</t>
    </r>
  </si>
  <si>
    <r>
      <rPr>
        <b val="true"/>
        <sz val="12"/>
        <rFont val="SimSun"/>
        <family val="0"/>
        <charset val="134"/>
      </rPr>
      <t xml:space="preserve">φ25 </t>
    </r>
    <r>
      <rPr>
        <b val="true"/>
        <sz val="12"/>
        <color rgb="FFFF0008"/>
        <rFont val="SimSun"/>
        <family val="0"/>
        <charset val="134"/>
      </rPr>
      <t xml:space="preserve">cT 0.65 Apkoh 吉尔吉斯</t>
    </r>
    <r>
      <rPr>
        <b val="true"/>
        <sz val="12"/>
        <color rgb="FFFF0008"/>
        <rFont val="Arial"/>
        <family val="0"/>
        <charset val="134"/>
      </rPr>
      <t xml:space="preserve">Қирғиз</t>
    </r>
  </si>
  <si>
    <r>
      <rPr>
        <b val="true"/>
        <sz val="12"/>
        <rFont val="SimSun"/>
        <family val="0"/>
        <charset val="134"/>
      </rPr>
      <t xml:space="preserve">φ19</t>
    </r>
    <r>
      <rPr>
        <sz val="12"/>
        <rFont val="SimSun"/>
        <family val="0"/>
        <charset val="134"/>
      </rPr>
      <t xml:space="preserve"> </t>
    </r>
    <r>
      <rPr>
        <b val="true"/>
        <sz val="12"/>
        <color rgb="FFFF0008"/>
        <rFont val="SimSun"/>
        <family val="0"/>
        <charset val="134"/>
      </rPr>
      <t xml:space="preserve">cT</t>
    </r>
    <r>
      <rPr>
        <sz val="12"/>
        <color rgb="FFFF0008"/>
        <rFont val="SimSun"/>
        <family val="0"/>
        <charset val="134"/>
      </rPr>
      <t xml:space="preserve"> </t>
    </r>
    <r>
      <rPr>
        <b val="true"/>
        <sz val="12"/>
        <color rgb="FFFF0008"/>
        <rFont val="SimSun"/>
        <family val="0"/>
        <charset val="134"/>
      </rPr>
      <t xml:space="preserve">0,65  吉尔吉斯</t>
    </r>
    <r>
      <rPr>
        <b val="true"/>
        <sz val="12"/>
        <color rgb="FFFF0008"/>
        <rFont val="Arial"/>
        <family val="0"/>
        <charset val="134"/>
      </rPr>
      <t xml:space="preserve">Қирғиз</t>
    </r>
  </si>
  <si>
    <r>
      <rPr>
        <b val="true"/>
        <sz val="12"/>
        <rFont val="SimSun"/>
        <family val="0"/>
        <charset val="134"/>
      </rPr>
      <t xml:space="preserve">KB</t>
    </r>
    <r>
      <rPr>
        <sz val="12"/>
        <rFont val="SimSun"/>
        <family val="0"/>
        <charset val="134"/>
      </rPr>
      <t xml:space="preserve"> 38</t>
    </r>
    <r>
      <rPr>
        <b val="true"/>
        <sz val="12"/>
        <rFont val="SimSun"/>
        <family val="0"/>
        <charset val="134"/>
      </rPr>
      <t xml:space="preserve">x38</t>
    </r>
    <r>
      <rPr>
        <sz val="12"/>
        <rFont val="SimSun"/>
        <family val="0"/>
        <charset val="134"/>
      </rPr>
      <t xml:space="preserve"> </t>
    </r>
    <r>
      <rPr>
        <b val="true"/>
        <sz val="12"/>
        <color rgb="FFFF0000"/>
        <rFont val="SimSun"/>
        <family val="0"/>
        <charset val="134"/>
      </rPr>
      <t xml:space="preserve">CT</t>
    </r>
    <r>
      <rPr>
        <sz val="12"/>
        <color rgb="FFFF0000"/>
        <rFont val="SimSun"/>
        <family val="0"/>
        <charset val="134"/>
      </rPr>
      <t xml:space="preserve"> </t>
    </r>
    <r>
      <rPr>
        <b val="true"/>
        <sz val="12"/>
        <color rgb="FFFF0000"/>
        <rFont val="SimSun"/>
        <family val="0"/>
        <charset val="134"/>
      </rPr>
      <t xml:space="preserve">0.85 吉尔吉斯</t>
    </r>
    <r>
      <rPr>
        <b val="true"/>
        <sz val="12"/>
        <color rgb="FFFF0000"/>
        <rFont val="Arial"/>
        <family val="0"/>
        <charset val="134"/>
      </rPr>
      <t xml:space="preserve">Қирғиз</t>
    </r>
  </si>
  <si>
    <r>
      <rPr>
        <b val="true"/>
        <sz val="12"/>
        <rFont val="SimSun"/>
        <family val="0"/>
        <charset val="134"/>
      </rPr>
      <t xml:space="preserve">KB</t>
    </r>
    <r>
      <rPr>
        <sz val="12"/>
        <rFont val="SimSun"/>
        <family val="0"/>
        <charset val="134"/>
      </rPr>
      <t xml:space="preserve"> </t>
    </r>
    <r>
      <rPr>
        <b val="true"/>
        <sz val="12"/>
        <rFont val="SimSun"/>
        <family val="0"/>
        <charset val="134"/>
      </rPr>
      <t xml:space="preserve">20x10</t>
    </r>
    <r>
      <rPr>
        <sz val="12"/>
        <rFont val="SimSun"/>
        <family val="0"/>
        <charset val="134"/>
      </rPr>
      <t xml:space="preserve"> </t>
    </r>
    <r>
      <rPr>
        <b val="true"/>
        <sz val="12"/>
        <color rgb="FFFF0000"/>
        <rFont val="SimSun"/>
        <family val="0"/>
        <charset val="134"/>
      </rPr>
      <t xml:space="preserve">CT</t>
    </r>
    <r>
      <rPr>
        <sz val="12"/>
        <color rgb="FFFF0000"/>
        <rFont val="SimSun"/>
        <family val="0"/>
        <charset val="134"/>
      </rPr>
      <t xml:space="preserve"> </t>
    </r>
    <r>
      <rPr>
        <b val="true"/>
        <sz val="12"/>
        <color rgb="FFFF0000"/>
        <rFont val="SimSun"/>
        <family val="0"/>
        <charset val="134"/>
      </rPr>
      <t xml:space="preserve">0.65 吉尔吉斯</t>
    </r>
    <r>
      <rPr>
        <b val="true"/>
        <sz val="12"/>
        <color rgb="FFFF0000"/>
        <rFont val="Arial"/>
        <family val="0"/>
        <charset val="134"/>
      </rPr>
      <t xml:space="preserve">Қирғиз</t>
    </r>
  </si>
  <si>
    <r>
      <rPr>
        <b val="true"/>
        <sz val="12"/>
        <rFont val="SimSun"/>
        <family val="0"/>
        <charset val="134"/>
      </rPr>
      <t xml:space="preserve">KB</t>
    </r>
    <r>
      <rPr>
        <sz val="12"/>
        <rFont val="SimSun"/>
        <family val="0"/>
        <charset val="134"/>
      </rPr>
      <t xml:space="preserve"> 4</t>
    </r>
    <r>
      <rPr>
        <b val="true"/>
        <sz val="12"/>
        <rFont val="SimSun"/>
        <family val="0"/>
        <charset val="134"/>
      </rPr>
      <t xml:space="preserve">0x40</t>
    </r>
    <r>
      <rPr>
        <sz val="12"/>
        <rFont val="SimSun"/>
        <family val="0"/>
        <charset val="134"/>
      </rPr>
      <t xml:space="preserve"> </t>
    </r>
    <r>
      <rPr>
        <b val="true"/>
        <sz val="12"/>
        <color rgb="FFFF0000"/>
        <rFont val="SimSun"/>
        <family val="0"/>
        <charset val="134"/>
      </rPr>
      <t xml:space="preserve">CT</t>
    </r>
    <r>
      <rPr>
        <sz val="12"/>
        <color rgb="FFFF0000"/>
        <rFont val="SimSun"/>
        <family val="0"/>
        <charset val="134"/>
      </rPr>
      <t xml:space="preserve"> </t>
    </r>
    <r>
      <rPr>
        <b val="true"/>
        <sz val="12"/>
        <color rgb="FFFF0000"/>
        <rFont val="SimSun"/>
        <family val="0"/>
        <charset val="134"/>
      </rPr>
      <t xml:space="preserve">0.85 吉尔吉斯 </t>
    </r>
    <r>
      <rPr>
        <b val="true"/>
        <sz val="12"/>
        <color rgb="FFFF0000"/>
        <rFont val="Arial"/>
        <family val="0"/>
        <charset val="134"/>
      </rPr>
      <t xml:space="preserve">Қирғиз</t>
    </r>
  </si>
  <si>
    <r>
      <rPr>
        <b val="true"/>
        <sz val="12"/>
        <rFont val="SimSun"/>
        <family val="0"/>
        <charset val="134"/>
      </rPr>
      <t xml:space="preserve">KB</t>
    </r>
    <r>
      <rPr>
        <sz val="12"/>
        <rFont val="SimSun"/>
        <family val="0"/>
        <charset val="134"/>
      </rPr>
      <t xml:space="preserve"> 5</t>
    </r>
    <r>
      <rPr>
        <b val="true"/>
        <sz val="12"/>
        <rFont val="SimSun"/>
        <family val="0"/>
        <charset val="134"/>
      </rPr>
      <t xml:space="preserve">0x50</t>
    </r>
    <r>
      <rPr>
        <sz val="12"/>
        <rFont val="SimSun"/>
        <family val="0"/>
        <charset val="134"/>
      </rPr>
      <t xml:space="preserve"> </t>
    </r>
    <r>
      <rPr>
        <b val="true"/>
        <sz val="12"/>
        <color rgb="FFFF0000"/>
        <rFont val="SimSun"/>
        <family val="0"/>
        <charset val="134"/>
      </rPr>
      <t xml:space="preserve">CT</t>
    </r>
    <r>
      <rPr>
        <sz val="12"/>
        <color rgb="FFFF0000"/>
        <rFont val="SimSun"/>
        <family val="0"/>
        <charset val="134"/>
      </rPr>
      <t xml:space="preserve"> </t>
    </r>
    <r>
      <rPr>
        <b val="true"/>
        <sz val="12"/>
        <color rgb="FFFF0000"/>
        <rFont val="SimSun"/>
        <family val="0"/>
        <charset val="134"/>
      </rPr>
      <t xml:space="preserve">0.85 吉尔吉斯</t>
    </r>
    <r>
      <rPr>
        <b val="true"/>
        <sz val="12"/>
        <color rgb="FFFF0000"/>
        <rFont val="Arial"/>
        <family val="0"/>
        <charset val="134"/>
      </rPr>
      <t xml:space="preserve">Қирғиз</t>
    </r>
  </si>
  <si>
    <r>
      <rPr>
        <b val="true"/>
        <sz val="12"/>
        <rFont val="SimSun"/>
        <family val="0"/>
        <charset val="134"/>
      </rPr>
      <t xml:space="preserve">KB 25x25 </t>
    </r>
    <r>
      <rPr>
        <b val="true"/>
        <sz val="12"/>
        <color rgb="FFFF0000"/>
        <rFont val="SimSun"/>
        <family val="0"/>
        <charset val="134"/>
      </rPr>
      <t xml:space="preserve">CT 0.85 吉尔吉斯</t>
    </r>
    <r>
      <rPr>
        <b val="true"/>
        <sz val="12"/>
        <color rgb="FFFF0000"/>
        <rFont val="Arial"/>
        <family val="0"/>
        <charset val="134"/>
      </rPr>
      <t xml:space="preserve">Қирғиз</t>
    </r>
  </si>
  <si>
    <r>
      <rPr>
        <b val="true"/>
        <sz val="12"/>
        <rFont val="SimSun"/>
        <family val="0"/>
        <charset val="134"/>
      </rPr>
      <t xml:space="preserve">KB</t>
    </r>
    <r>
      <rPr>
        <sz val="12"/>
        <rFont val="SimSun"/>
        <family val="0"/>
        <charset val="134"/>
      </rPr>
      <t xml:space="preserve"> </t>
    </r>
    <r>
      <rPr>
        <b val="true"/>
        <sz val="12"/>
        <rFont val="SimSun"/>
        <family val="0"/>
        <charset val="134"/>
      </rPr>
      <t xml:space="preserve">30x10</t>
    </r>
    <r>
      <rPr>
        <sz val="12"/>
        <rFont val="SimSun"/>
        <family val="0"/>
        <charset val="134"/>
      </rPr>
      <t xml:space="preserve"> </t>
    </r>
    <r>
      <rPr>
        <b val="true"/>
        <sz val="12"/>
        <color rgb="FFFF0000"/>
        <rFont val="SimSun"/>
        <family val="0"/>
        <charset val="134"/>
      </rPr>
      <t xml:space="preserve">CT</t>
    </r>
    <r>
      <rPr>
        <sz val="12"/>
        <color rgb="FFFF0000"/>
        <rFont val="SimSun"/>
        <family val="0"/>
        <charset val="134"/>
      </rPr>
      <t xml:space="preserve"> </t>
    </r>
    <r>
      <rPr>
        <b val="true"/>
        <sz val="12"/>
        <color rgb="FFFF0000"/>
        <rFont val="SimSun"/>
        <family val="0"/>
        <charset val="134"/>
      </rPr>
      <t xml:space="preserve">0.85 吉尔吉斯</t>
    </r>
    <r>
      <rPr>
        <b val="true"/>
        <sz val="12"/>
        <color rgb="FFFF0000"/>
        <rFont val="Arial"/>
        <family val="0"/>
        <charset val="134"/>
      </rPr>
      <t xml:space="preserve">Қирғиз</t>
    </r>
  </si>
  <si>
    <r>
      <rPr>
        <b val="true"/>
        <sz val="12"/>
        <rFont val="SimSun"/>
        <family val="0"/>
        <charset val="134"/>
      </rPr>
      <t xml:space="preserve">KB</t>
    </r>
    <r>
      <rPr>
        <sz val="12"/>
        <rFont val="SimSun"/>
        <family val="0"/>
        <charset val="134"/>
      </rPr>
      <t xml:space="preserve"> </t>
    </r>
    <r>
      <rPr>
        <b val="true"/>
        <sz val="12"/>
        <rFont val="SimSun"/>
        <family val="0"/>
        <charset val="134"/>
      </rPr>
      <t xml:space="preserve">40x10</t>
    </r>
    <r>
      <rPr>
        <sz val="12"/>
        <rFont val="SimSun"/>
        <family val="0"/>
        <charset val="134"/>
      </rPr>
      <t xml:space="preserve"> </t>
    </r>
    <r>
      <rPr>
        <b val="true"/>
        <sz val="12"/>
        <color rgb="FFFF0000"/>
        <rFont val="SimSun"/>
        <family val="0"/>
        <charset val="134"/>
      </rPr>
      <t xml:space="preserve">CT</t>
    </r>
    <r>
      <rPr>
        <sz val="12"/>
        <color rgb="FFFF0000"/>
        <rFont val="SimSun"/>
        <family val="0"/>
        <charset val="134"/>
      </rPr>
      <t xml:space="preserve"> </t>
    </r>
    <r>
      <rPr>
        <b val="true"/>
        <sz val="12"/>
        <color rgb="FFFF0000"/>
        <rFont val="SimSun"/>
        <family val="0"/>
        <charset val="134"/>
      </rPr>
      <t xml:space="preserve">0.85 吉尔吉斯</t>
    </r>
    <r>
      <rPr>
        <b val="true"/>
        <sz val="12"/>
        <color rgb="FFFF0000"/>
        <rFont val="Arial"/>
        <family val="0"/>
        <charset val="134"/>
      </rPr>
      <t xml:space="preserve">Қирғиз</t>
    </r>
  </si>
  <si>
    <r>
      <rPr>
        <b val="true"/>
        <sz val="12"/>
        <rFont val="SimSun"/>
        <family val="0"/>
        <charset val="134"/>
      </rPr>
      <t xml:space="preserve">KB</t>
    </r>
    <r>
      <rPr>
        <sz val="12"/>
        <rFont val="SimSun"/>
        <family val="0"/>
        <charset val="134"/>
      </rPr>
      <t xml:space="preserve"> 3</t>
    </r>
    <r>
      <rPr>
        <b val="true"/>
        <sz val="12"/>
        <rFont val="SimSun"/>
        <family val="0"/>
        <charset val="134"/>
      </rPr>
      <t xml:space="preserve">0x30</t>
    </r>
    <r>
      <rPr>
        <sz val="12"/>
        <rFont val="SimSun"/>
        <family val="0"/>
        <charset val="134"/>
      </rPr>
      <t xml:space="preserve"> </t>
    </r>
    <r>
      <rPr>
        <b val="true"/>
        <sz val="12"/>
        <color rgb="FFFF0000"/>
        <rFont val="SimSun"/>
        <family val="0"/>
        <charset val="134"/>
      </rPr>
      <t xml:space="preserve">CT</t>
    </r>
    <r>
      <rPr>
        <sz val="12"/>
        <color rgb="FFFF0000"/>
        <rFont val="SimSun"/>
        <family val="0"/>
        <charset val="134"/>
      </rPr>
      <t xml:space="preserve"> </t>
    </r>
    <r>
      <rPr>
        <b val="true"/>
        <sz val="12"/>
        <color rgb="FFFF0000"/>
        <rFont val="SimSun"/>
        <family val="0"/>
        <charset val="134"/>
      </rPr>
      <t xml:space="preserve">0.85 吉尔吉斯</t>
    </r>
    <r>
      <rPr>
        <b val="true"/>
        <sz val="12"/>
        <color rgb="FFFF0000"/>
        <rFont val="Arial"/>
        <family val="0"/>
        <charset val="134"/>
      </rPr>
      <t xml:space="preserve">Қирғиз</t>
    </r>
  </si>
  <si>
    <r>
      <rPr>
        <b val="true"/>
        <sz val="12"/>
        <rFont val="SimSun"/>
        <family val="0"/>
        <charset val="134"/>
      </rPr>
      <t xml:space="preserve">KB</t>
    </r>
    <r>
      <rPr>
        <sz val="12"/>
        <rFont val="SimSun"/>
        <family val="0"/>
        <charset val="134"/>
      </rPr>
      <t xml:space="preserve"> 4</t>
    </r>
    <r>
      <rPr>
        <b val="true"/>
        <sz val="12"/>
        <rFont val="SimSun"/>
        <family val="0"/>
        <charset val="134"/>
      </rPr>
      <t xml:space="preserve">0x40</t>
    </r>
    <r>
      <rPr>
        <sz val="12"/>
        <rFont val="SimSun"/>
        <family val="0"/>
        <charset val="134"/>
      </rPr>
      <t xml:space="preserve"> </t>
    </r>
    <r>
      <rPr>
        <b val="true"/>
        <sz val="12"/>
        <color rgb="FFFF0000"/>
        <rFont val="SimSun"/>
        <family val="0"/>
        <charset val="134"/>
      </rPr>
      <t xml:space="preserve">CT</t>
    </r>
    <r>
      <rPr>
        <sz val="12"/>
        <color rgb="FFFF0000"/>
        <rFont val="SimSun"/>
        <family val="0"/>
        <charset val="134"/>
      </rPr>
      <t xml:space="preserve"> </t>
    </r>
    <r>
      <rPr>
        <b val="true"/>
        <sz val="12"/>
        <color rgb="FFFF0000"/>
        <rFont val="SimSun"/>
        <family val="0"/>
        <charset val="134"/>
      </rPr>
      <t xml:space="preserve">1.15 吉尔吉斯</t>
    </r>
    <r>
      <rPr>
        <b val="true"/>
        <sz val="12"/>
        <color rgb="FFFF0000"/>
        <rFont val="Arial"/>
        <family val="0"/>
        <charset val="134"/>
      </rPr>
      <t xml:space="preserve">Қирғиз</t>
    </r>
  </si>
  <si>
    <t xml:space="preserve">合计：                 Umumiy og‘irlik</t>
  </si>
</sst>
</file>

<file path=xl/styles.xml><?xml version="1.0" encoding="utf-8"?>
<styleSheet xmlns="http://schemas.openxmlformats.org/spreadsheetml/2006/main">
  <numFmts count="4">
    <numFmt numFmtId="164" formatCode="General"/>
    <numFmt numFmtId="165" formatCode="0.00_ "/>
    <numFmt numFmtId="166" formatCode="0.0_ "/>
    <numFmt numFmtId="167" formatCode="0_ "/>
  </numFmts>
  <fonts count="36">
    <font>
      <sz val="10"/>
      <name val="Arial"/>
      <family val="2"/>
      <charset val="204"/>
    </font>
    <font>
      <sz val="10"/>
      <name val="Arial"/>
      <family val="0"/>
      <charset val="204"/>
    </font>
    <font>
      <sz val="10"/>
      <name val="Arial"/>
      <family val="0"/>
      <charset val="204"/>
    </font>
    <font>
      <sz val="10"/>
      <name val="Arial"/>
      <family val="0"/>
      <charset val="204"/>
    </font>
    <font>
      <b val="true"/>
      <sz val="11"/>
      <name val="宋体"/>
      <family val="0"/>
      <charset val="134"/>
    </font>
    <font>
      <b val="true"/>
      <sz val="11"/>
      <color rgb="FF000000"/>
      <name val="宋体"/>
      <family val="0"/>
      <charset val="134"/>
    </font>
    <font>
      <b val="true"/>
      <sz val="11"/>
      <name val="Times New Roman"/>
      <family val="0"/>
      <charset val="134"/>
    </font>
    <font>
      <b val="true"/>
      <sz val="10"/>
      <color rgb="FF000000"/>
      <name val="宋体"/>
      <family val="0"/>
      <charset val="204"/>
    </font>
    <font>
      <b val="true"/>
      <sz val="12"/>
      <name val="SimSun"/>
      <family val="0"/>
      <charset val="134"/>
    </font>
    <font>
      <sz val="12"/>
      <name val="SimSun"/>
      <family val="0"/>
      <charset val="134"/>
    </font>
    <font>
      <b val="true"/>
      <sz val="12"/>
      <color rgb="FFFF0000"/>
      <name val="SimSun"/>
      <family val="0"/>
      <charset val="134"/>
    </font>
    <font>
      <sz val="12"/>
      <color rgb="FFFF0000"/>
      <name val="SimSun"/>
      <family val="0"/>
      <charset val="134"/>
    </font>
    <font>
      <b val="true"/>
      <sz val="12"/>
      <color rgb="FFFF0000"/>
      <name val="宋体-简"/>
      <family val="0"/>
      <charset val="134"/>
    </font>
    <font>
      <b val="true"/>
      <sz val="12"/>
      <color rgb="FF000000"/>
      <name val="SimSun"/>
      <family val="0"/>
      <charset val="134"/>
    </font>
    <font>
      <b val="true"/>
      <sz val="12"/>
      <color rgb="FFAC0011"/>
      <name val="SimSun"/>
      <family val="0"/>
      <charset val="134"/>
    </font>
    <font>
      <b val="true"/>
      <sz val="11"/>
      <color rgb="FFC00000"/>
      <name val="Arial"/>
      <family val="0"/>
      <charset val="204"/>
    </font>
    <font>
      <sz val="11"/>
      <color rgb="FFC00000"/>
      <name val="Arial"/>
      <family val="0"/>
      <charset val="204"/>
    </font>
    <font>
      <b val="true"/>
      <sz val="11"/>
      <color rgb="FF000000"/>
      <name val="宋体-简"/>
      <family val="0"/>
      <charset val="204"/>
    </font>
    <font>
      <b val="true"/>
      <sz val="12"/>
      <color rgb="FFFF0008"/>
      <name val="SimSun"/>
      <family val="0"/>
      <charset val="134"/>
    </font>
    <font>
      <b val="true"/>
      <sz val="12"/>
      <color rgb="FFFF0008"/>
      <name val="宋体-简"/>
      <family val="0"/>
      <charset val="134"/>
    </font>
    <font>
      <b val="true"/>
      <sz val="12"/>
      <color rgb="FF000000"/>
      <name val="SimSun-ExtB"/>
      <family val="0"/>
      <charset val="204"/>
    </font>
    <font>
      <b val="true"/>
      <sz val="12"/>
      <name val="Arial"/>
      <family val="0"/>
      <charset val="134"/>
    </font>
    <font>
      <b val="true"/>
      <sz val="12"/>
      <color rgb="FFAF000C"/>
      <name val="SimSun"/>
      <family val="0"/>
      <charset val="134"/>
    </font>
    <font>
      <b val="true"/>
      <sz val="12"/>
      <color rgb="FFC00000"/>
      <name val="SimSun"/>
      <family val="0"/>
      <charset val="134"/>
    </font>
    <font>
      <b val="true"/>
      <sz val="12"/>
      <color rgb="FFC00000"/>
      <name val="Arial"/>
      <family val="0"/>
      <charset val="134"/>
    </font>
    <font>
      <sz val="11"/>
      <color rgb="FFFF0000"/>
      <name val="Arial"/>
      <family val="0"/>
      <charset val="204"/>
    </font>
    <font>
      <sz val="12"/>
      <color rgb="FFFF0008"/>
      <name val="SimSun"/>
      <family val="0"/>
      <charset val="134"/>
    </font>
    <font>
      <b val="true"/>
      <sz val="12"/>
      <color rgb="FFFF0008"/>
      <name val="Arial"/>
      <family val="0"/>
      <charset val="134"/>
    </font>
    <font>
      <b val="true"/>
      <sz val="12"/>
      <color rgb="FFFF0000"/>
      <name val="Arial"/>
      <family val="0"/>
      <charset val="134"/>
    </font>
    <font>
      <b val="true"/>
      <sz val="12"/>
      <color rgb="FFB70012"/>
      <name val="SimSun"/>
      <family val="0"/>
      <charset val="134"/>
    </font>
    <font>
      <sz val="14"/>
      <color rgb="FF000000"/>
      <name val="SimSun-ExtB"/>
      <family val="0"/>
      <charset val="204"/>
    </font>
    <font>
      <sz val="14"/>
      <name val="SimSun"/>
      <family val="0"/>
      <charset val="134"/>
    </font>
    <font>
      <sz val="14"/>
      <color rgb="FF000000"/>
      <name val="SimSun"/>
      <family val="0"/>
      <charset val="134"/>
    </font>
    <font>
      <sz val="14"/>
      <color rgb="FFAF000C"/>
      <name val="SimSun"/>
      <family val="0"/>
      <charset val="134"/>
    </font>
    <font>
      <sz val="14"/>
      <color rgb="FFC00000"/>
      <name val="Arial"/>
      <family val="0"/>
      <charset val="204"/>
    </font>
    <font>
      <sz val="14"/>
      <color rgb="FF000000"/>
      <name val="Arial"/>
      <family val="0"/>
      <charset val="204"/>
    </font>
  </fonts>
  <fills count="7">
    <fill>
      <patternFill patternType="none"/>
    </fill>
    <fill>
      <patternFill patternType="gray125"/>
    </fill>
    <fill>
      <patternFill patternType="solid">
        <fgColor rgb="FFFF0000"/>
        <bgColor rgb="FFFF0008"/>
      </patternFill>
    </fill>
    <fill>
      <patternFill patternType="solid">
        <fgColor theme="9"/>
        <bgColor rgb="FF339966"/>
      </patternFill>
    </fill>
    <fill>
      <patternFill patternType="solid">
        <fgColor theme="9" tint="0.6"/>
        <bgColor rgb="FFCCFFCC"/>
      </patternFill>
    </fill>
    <fill>
      <patternFill patternType="solid">
        <fgColor rgb="FFFF7373"/>
        <bgColor rgb="FFFF6600"/>
      </patternFill>
    </fill>
    <fill>
      <patternFill patternType="solid">
        <fgColor rgb="FFFFFF00"/>
        <bgColor rgb="FFFFFF00"/>
      </patternFill>
    </fill>
  </fills>
  <borders count="5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 style="thin"/>
      <top style="thin"/>
      <bottom/>
      <diagonal/>
    </border>
    <border diagonalUp="false" diagonalDown="false">
      <left style="thin"/>
      <right/>
      <top style="thin"/>
      <bottom style="thin"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54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5" fontId="5" fillId="0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4" fillId="0" borderId="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6" fontId="4" fillId="0" borderId="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7" fontId="4" fillId="0" borderId="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7" fontId="5" fillId="0" borderId="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5" fontId="5" fillId="0" borderId="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5" fillId="2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4" fillId="3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7" fillId="2" borderId="3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8" fillId="4" borderId="1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5" fontId="13" fillId="0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8" fillId="0" borderId="1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6" fontId="14" fillId="0" borderId="1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7" fontId="15" fillId="0" borderId="1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5" fontId="0" fillId="0" borderId="1" xfId="0" applyFont="false" applyBorder="true" applyAlignment="true" applyProtection="false">
      <alignment horizontal="center" vertical="top" textRotation="0" wrapText="true" indent="0" shrinkToFit="false"/>
      <protection locked="true" hidden="false"/>
    </xf>
    <xf numFmtId="165" fontId="0" fillId="0" borderId="2" xfId="0" applyFont="false" applyBorder="true" applyAlignment="true" applyProtection="false">
      <alignment horizontal="center" vertical="top" textRotation="0" wrapText="true" indent="0" shrinkToFit="false"/>
      <protection locked="true" hidden="false"/>
    </xf>
    <xf numFmtId="165" fontId="0" fillId="0" borderId="1" xfId="0" applyFont="fals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5" borderId="3" xfId="0" applyFont="fals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6" fillId="4" borderId="3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17" fillId="2" borderId="3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8" fillId="4" borderId="4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6" fontId="14" fillId="0" borderId="4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0" fillId="0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8" fillId="0" borderId="1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5" fontId="13" fillId="0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6" fontId="22" fillId="0" borderId="1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7" fontId="0" fillId="5" borderId="3" xfId="0" applyFont="fals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8" fillId="4" borderId="1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0" fillId="0" borderId="1" xfId="0" applyFont="fals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25" fillId="4" borderId="3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4" borderId="3" xfId="0" applyFont="false" applyBorder="true" applyAlignment="true" applyProtection="false">
      <alignment horizontal="center" vertical="center" textRotation="0" wrapText="true" indent="0" shrinkToFit="false"/>
      <protection locked="true" hidden="false"/>
    </xf>
    <xf numFmtId="165" fontId="13" fillId="0" borderId="2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6" fontId="14" fillId="0" borderId="2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8" fillId="6" borderId="1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5" fontId="13" fillId="6" borderId="2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6" fontId="0" fillId="2" borderId="1" xfId="0" applyFont="fals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8" fillId="0" borderId="4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8" fillId="0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0" fillId="2" borderId="1" xfId="0" applyFont="fals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8" fillId="0" borderId="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5" fontId="13" fillId="0" borderId="2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6" fontId="29" fillId="0" borderId="2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30" fillId="0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31" fillId="0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5" fontId="32" fillId="0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31" fillId="0" borderId="2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33" fillId="0" borderId="1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7" fontId="34" fillId="0" borderId="1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5" fontId="35" fillId="0" borderId="1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35" fillId="0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5" fontId="35" fillId="5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5" fontId="35" fillId="4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AC0011"/>
      <rgbColor rgb="FF008000"/>
      <rgbColor rgb="FF000080"/>
      <rgbColor rgb="FF808000"/>
      <rgbColor rgb="FFC00000"/>
      <rgbColor rgb="FF008080"/>
      <rgbColor rgb="FFC5E0B4"/>
      <rgbColor rgb="FF808080"/>
      <rgbColor rgb="FF9999FF"/>
      <rgbColor rgb="FFFF0008"/>
      <rgbColor rgb="FFFFFFCC"/>
      <rgbColor rgb="FFCCFFFF"/>
      <rgbColor rgb="FF660066"/>
      <rgbColor rgb="FFFF7373"/>
      <rgbColor rgb="FF0066CC"/>
      <rgbColor rgb="FFCCCCFF"/>
      <rgbColor rgb="FF000080"/>
      <rgbColor rgb="FFFF00FF"/>
      <rgbColor rgb="FFFFFF00"/>
      <rgbColor rgb="FF00FFFF"/>
      <rgbColor rgb="FF800080"/>
      <rgbColor rgb="FFAF000C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B70012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">
  <a:themeElements>
    <a:clrScheme name="LibreOffice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18A303"/>
      </a:accent1>
      <a:accent2>
        <a:srgbClr val="0369A3"/>
      </a:accent2>
      <a:accent3>
        <a:srgbClr val="A33E03"/>
      </a:accent3>
      <a:accent4>
        <a:srgbClr val="8E03A3"/>
      </a:accent4>
      <a:accent5>
        <a:srgbClr val="C99C00"/>
      </a:accent5>
      <a:accent6>
        <a:srgbClr val="C9211E"/>
      </a:accent6>
      <a:hlink>
        <a:srgbClr val="0000EE"/>
      </a:hlink>
      <a:folHlink>
        <a:srgbClr val="551A8B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2:L27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E3" activeCellId="0" sqref="E3"/>
    </sheetView>
  </sheetViews>
  <sheetFormatPr defaultColWidth="11.53515625" defaultRowHeight="12.8" customHeight="false" zeroHeight="false" outlineLevelRow="0" outlineLevelCol="0"/>
  <cols>
    <col collapsed="false" customWidth="true" hidden="false" outlineLevel="0" max="2" min="2" style="0" width="49.66"/>
  </cols>
  <sheetData>
    <row r="2" customFormat="false" ht="13.8" hidden="false" customHeight="false" outlineLevel="0" collapsed="false">
      <c r="A2" s="1" t="s">
        <v>0</v>
      </c>
      <c r="B2" s="1" t="s">
        <v>1</v>
      </c>
      <c r="C2" s="2" t="s">
        <v>2</v>
      </c>
      <c r="D2" s="3" t="s">
        <v>3</v>
      </c>
      <c r="E2" s="4" t="s">
        <v>4</v>
      </c>
      <c r="F2" s="5" t="s">
        <v>5</v>
      </c>
      <c r="G2" s="6" t="s">
        <v>6</v>
      </c>
      <c r="H2" s="7" t="s">
        <v>7</v>
      </c>
      <c r="I2" s="7" t="s">
        <v>8</v>
      </c>
      <c r="J2" s="7" t="s">
        <v>9</v>
      </c>
      <c r="K2" s="8" t="s">
        <v>10</v>
      </c>
      <c r="L2" s="9" t="s">
        <v>11</v>
      </c>
    </row>
    <row r="3" customFormat="false" ht="49.35" hidden="false" customHeight="false" outlineLevel="0" collapsed="false">
      <c r="A3" s="10" t="s">
        <v>12</v>
      </c>
      <c r="B3" s="11" t="s">
        <v>13</v>
      </c>
      <c r="C3" s="12" t="n">
        <v>0.65</v>
      </c>
      <c r="D3" s="13" t="s">
        <v>14</v>
      </c>
      <c r="E3" s="14" t="n">
        <f aca="false">58*0.54*7.93*6/1000</f>
        <v>1.4902056</v>
      </c>
      <c r="F3" s="15"/>
      <c r="G3" s="16" t="n">
        <f aca="false">E3*F3</f>
        <v>0</v>
      </c>
      <c r="H3" s="17" t="n">
        <v>8.05</v>
      </c>
      <c r="I3" s="18"/>
      <c r="J3" s="16" t="n">
        <f aca="false">H3*G3</f>
        <v>0</v>
      </c>
      <c r="K3" s="19" t="n">
        <v>400</v>
      </c>
      <c r="L3" s="20" t="n">
        <v>0</v>
      </c>
    </row>
    <row r="4" customFormat="false" ht="49.35" hidden="false" customHeight="false" outlineLevel="0" collapsed="false">
      <c r="A4" s="21" t="s">
        <v>12</v>
      </c>
      <c r="B4" s="22" t="s">
        <v>15</v>
      </c>
      <c r="C4" s="12" t="n">
        <v>0.85</v>
      </c>
      <c r="D4" s="13" t="s">
        <v>14</v>
      </c>
      <c r="E4" s="23" t="n">
        <f aca="false">77*0.65*7.93*6/1000</f>
        <v>2.381379</v>
      </c>
      <c r="F4" s="15"/>
      <c r="G4" s="16" t="n">
        <f aca="false">E4*F4</f>
        <v>0</v>
      </c>
      <c r="H4" s="17" t="n">
        <v>8.05</v>
      </c>
      <c r="I4" s="18"/>
      <c r="J4" s="16" t="n">
        <f aca="false">H4*G4</f>
        <v>0</v>
      </c>
      <c r="K4" s="19" t="n">
        <v>3500</v>
      </c>
      <c r="L4" s="20" t="n">
        <v>0</v>
      </c>
    </row>
    <row r="5" customFormat="false" ht="50.6" hidden="false" customHeight="false" outlineLevel="0" collapsed="false">
      <c r="A5" s="24" t="n">
        <v>1</v>
      </c>
      <c r="B5" s="25" t="s">
        <v>16</v>
      </c>
      <c r="C5" s="26" t="n">
        <v>0.85</v>
      </c>
      <c r="D5" s="13" t="s">
        <v>14</v>
      </c>
      <c r="E5" s="27" t="n">
        <f aca="false">157.5*0.85*7.93*6/1000</f>
        <v>6.3697725</v>
      </c>
      <c r="F5" s="15" t="n">
        <v>3000</v>
      </c>
      <c r="G5" s="16" t="n">
        <f aca="false">E5*F5</f>
        <v>19109.3175</v>
      </c>
      <c r="H5" s="16" t="n">
        <v>8.05</v>
      </c>
      <c r="I5" s="18"/>
      <c r="J5" s="16" t="n">
        <f aca="false">H5*G5</f>
        <v>153830.005875</v>
      </c>
      <c r="K5" s="28" t="n">
        <f aca="false">F5</f>
        <v>3000</v>
      </c>
      <c r="L5" s="20" t="n">
        <v>2460</v>
      </c>
    </row>
    <row r="6" customFormat="false" ht="50.6" hidden="false" customHeight="false" outlineLevel="0" collapsed="false">
      <c r="A6" s="24" t="n">
        <v>2</v>
      </c>
      <c r="B6" s="29" t="s">
        <v>17</v>
      </c>
      <c r="C6" s="26" t="n">
        <v>0.85</v>
      </c>
      <c r="D6" s="13" t="s">
        <v>14</v>
      </c>
      <c r="E6" s="27" t="n">
        <f aca="false">117.5*0.85*7.93*6/1000</f>
        <v>4.7520525</v>
      </c>
      <c r="F6" s="15" t="n">
        <v>1800</v>
      </c>
      <c r="G6" s="16" t="n">
        <f aca="false">E6*F6</f>
        <v>8553.6945</v>
      </c>
      <c r="H6" s="16" t="n">
        <v>8.05</v>
      </c>
      <c r="I6" s="30"/>
      <c r="J6" s="16" t="n">
        <f aca="false">H6*G6</f>
        <v>68857.240725</v>
      </c>
      <c r="K6" s="19" t="n">
        <v>2300</v>
      </c>
      <c r="L6" s="31" t="n">
        <v>2101</v>
      </c>
    </row>
    <row r="7" customFormat="false" ht="50.6" hidden="false" customHeight="false" outlineLevel="0" collapsed="false">
      <c r="A7" s="24" t="n">
        <v>3</v>
      </c>
      <c r="B7" s="25" t="s">
        <v>18</v>
      </c>
      <c r="C7" s="26" t="n">
        <v>0.85</v>
      </c>
      <c r="D7" s="13" t="s">
        <v>14</v>
      </c>
      <c r="E7" s="27" t="n">
        <f aca="false">97.5*0.85*7.93*6/1000</f>
        <v>3.9431925</v>
      </c>
      <c r="F7" s="15" t="n">
        <v>200</v>
      </c>
      <c r="G7" s="16" t="n">
        <f aca="false">E7*F7</f>
        <v>788.6385</v>
      </c>
      <c r="H7" s="16" t="n">
        <v>8.05</v>
      </c>
      <c r="I7" s="30"/>
      <c r="J7" s="16" t="n">
        <f aca="false">H7*G7</f>
        <v>6348.539925</v>
      </c>
      <c r="K7" s="28" t="n">
        <f aca="false">F7</f>
        <v>200</v>
      </c>
      <c r="L7" s="32" t="n">
        <v>0</v>
      </c>
    </row>
    <row r="8" customFormat="false" ht="50.6" hidden="false" customHeight="false" outlineLevel="0" collapsed="false">
      <c r="A8" s="24" t="n">
        <v>4</v>
      </c>
      <c r="B8" s="25" t="s">
        <v>19</v>
      </c>
      <c r="C8" s="26" t="n">
        <v>0.85</v>
      </c>
      <c r="D8" s="13" t="s">
        <v>14</v>
      </c>
      <c r="E8" s="27" t="n">
        <f aca="false">197*0.84*7.93*6/1000</f>
        <v>7.8735384</v>
      </c>
      <c r="F8" s="15" t="n">
        <v>50</v>
      </c>
      <c r="G8" s="16" t="n">
        <f aca="false">E8*F8</f>
        <v>393.67692</v>
      </c>
      <c r="H8" s="16" t="n">
        <v>8.05</v>
      </c>
      <c r="I8" s="30"/>
      <c r="J8" s="16" t="n">
        <f aca="false">H8*G8</f>
        <v>3169.099206</v>
      </c>
      <c r="K8" s="28" t="n">
        <f aca="false">F8</f>
        <v>50</v>
      </c>
      <c r="L8" s="32" t="n">
        <v>50</v>
      </c>
    </row>
    <row r="9" customFormat="false" ht="50.6" hidden="false" customHeight="false" outlineLevel="0" collapsed="false">
      <c r="A9" s="24" t="n">
        <v>5</v>
      </c>
      <c r="B9" s="25" t="s">
        <v>20</v>
      </c>
      <c r="C9" s="26" t="n">
        <v>0.85</v>
      </c>
      <c r="D9" s="13" t="s">
        <v>14</v>
      </c>
      <c r="E9" s="27" t="n">
        <f aca="false">237*0.84*7.93*6/1000</f>
        <v>9.4722264</v>
      </c>
      <c r="F9" s="15" t="n">
        <v>40</v>
      </c>
      <c r="G9" s="16" t="n">
        <f aca="false">E9*F9</f>
        <v>378.889056</v>
      </c>
      <c r="H9" s="16" t="n">
        <v>8.05</v>
      </c>
      <c r="I9" s="30"/>
      <c r="J9" s="16" t="n">
        <f aca="false">H9*G9</f>
        <v>3050.0569008</v>
      </c>
      <c r="K9" s="28" t="n">
        <f aca="false">F9</f>
        <v>40</v>
      </c>
      <c r="L9" s="32" t="n">
        <v>40</v>
      </c>
    </row>
    <row r="10" customFormat="false" ht="50.6" hidden="false" customHeight="false" outlineLevel="0" collapsed="false">
      <c r="A10" s="24" t="n">
        <v>6</v>
      </c>
      <c r="B10" s="25" t="s">
        <v>21</v>
      </c>
      <c r="C10" s="33" t="n">
        <v>1.04</v>
      </c>
      <c r="D10" s="13" t="s">
        <v>14</v>
      </c>
      <c r="E10" s="34" t="n">
        <f aca="false">277*1.035*7.93*6/1000</f>
        <v>13.6409481</v>
      </c>
      <c r="F10" s="15" t="n">
        <v>15</v>
      </c>
      <c r="G10" s="16" t="n">
        <f aca="false">E10*F10</f>
        <v>204.6142215</v>
      </c>
      <c r="H10" s="16" t="n">
        <v>8.05</v>
      </c>
      <c r="I10" s="30"/>
      <c r="J10" s="16" t="n">
        <f aca="false">H10*G10</f>
        <v>1647.144483075</v>
      </c>
      <c r="K10" s="28" t="n">
        <f aca="false">F10</f>
        <v>15</v>
      </c>
      <c r="L10" s="32" t="n">
        <v>15</v>
      </c>
    </row>
    <row r="11" customFormat="false" ht="50.6" hidden="false" customHeight="false" outlineLevel="0" collapsed="false">
      <c r="A11" s="24" t="n">
        <v>7</v>
      </c>
      <c r="B11" s="35" t="s">
        <v>22</v>
      </c>
      <c r="C11" s="36" t="n">
        <v>1.3</v>
      </c>
      <c r="D11" s="13" t="s">
        <v>14</v>
      </c>
      <c r="E11" s="34" t="n">
        <f aca="false">317*1.3*7.93*6/1000</f>
        <v>19.607718</v>
      </c>
      <c r="F11" s="15" t="n">
        <v>15</v>
      </c>
      <c r="G11" s="16" t="n">
        <f aca="false">E11*F11</f>
        <v>294.11577</v>
      </c>
      <c r="H11" s="16" t="n">
        <v>8.05</v>
      </c>
      <c r="I11" s="30"/>
      <c r="J11" s="16" t="n">
        <f aca="false">H11*G11</f>
        <v>2367.6319485</v>
      </c>
      <c r="K11" s="28" t="n">
        <f aca="false">F11</f>
        <v>15</v>
      </c>
      <c r="L11" s="32" t="n">
        <v>15</v>
      </c>
    </row>
    <row r="12" customFormat="false" ht="50.6" hidden="false" customHeight="false" outlineLevel="0" collapsed="false">
      <c r="A12" s="24" t="n">
        <v>8</v>
      </c>
      <c r="B12" s="35" t="s">
        <v>23</v>
      </c>
      <c r="C12" s="36" t="n">
        <v>1.8</v>
      </c>
      <c r="D12" s="13" t="s">
        <v>14</v>
      </c>
      <c r="E12" s="34" t="n">
        <f aca="false">497*1.8*7.93*6/1000</f>
        <v>42.565068</v>
      </c>
      <c r="F12" s="15" t="n">
        <v>8</v>
      </c>
      <c r="G12" s="16" t="n">
        <f aca="false">E12*F12</f>
        <v>340.520544</v>
      </c>
      <c r="H12" s="16" t="n">
        <v>8.05</v>
      </c>
      <c r="I12" s="30"/>
      <c r="J12" s="16" t="n">
        <f aca="false">H12*G12</f>
        <v>2741.1903792</v>
      </c>
      <c r="K12" s="28" t="n">
        <f aca="false">F12</f>
        <v>8</v>
      </c>
      <c r="L12" s="32" t="n">
        <v>8</v>
      </c>
    </row>
    <row r="13" customFormat="false" ht="50.6" hidden="false" customHeight="false" outlineLevel="0" collapsed="false">
      <c r="A13" s="24" t="n">
        <v>9</v>
      </c>
      <c r="B13" s="25" t="s">
        <v>24</v>
      </c>
      <c r="C13" s="33" t="n">
        <v>0.65</v>
      </c>
      <c r="D13" s="13" t="s">
        <v>14</v>
      </c>
      <c r="E13" s="34" t="n">
        <f aca="false">49*0.64*7.93*6/1000</f>
        <v>1.4921088</v>
      </c>
      <c r="F13" s="15" t="n">
        <v>2000</v>
      </c>
      <c r="G13" s="16" t="n">
        <f aca="false">E13*F13</f>
        <v>2984.2176</v>
      </c>
      <c r="H13" s="16" t="n">
        <v>8.05</v>
      </c>
      <c r="I13" s="30"/>
      <c r="J13" s="16" t="n">
        <f aca="false">H13*G13</f>
        <v>24022.95168</v>
      </c>
      <c r="K13" s="28" t="n">
        <f aca="false">F13</f>
        <v>2000</v>
      </c>
      <c r="L13" s="20" t="n">
        <v>1789</v>
      </c>
    </row>
    <row r="14" customFormat="false" ht="50.6" hidden="false" customHeight="false" outlineLevel="0" collapsed="false">
      <c r="A14" s="24" t="n">
        <v>10</v>
      </c>
      <c r="B14" s="25" t="s">
        <v>25</v>
      </c>
      <c r="C14" s="33" t="n">
        <v>0.65</v>
      </c>
      <c r="D14" s="13" t="s">
        <v>14</v>
      </c>
      <c r="E14" s="34" t="n">
        <f aca="false">58.5*0.64*7.93*6/1000</f>
        <v>1.7813952</v>
      </c>
      <c r="F14" s="15" t="n">
        <v>400</v>
      </c>
      <c r="G14" s="16" t="n">
        <f aca="false">E14*F14</f>
        <v>712.55808</v>
      </c>
      <c r="H14" s="16" t="n">
        <v>8.05</v>
      </c>
      <c r="I14" s="37" t="n">
        <v>2.5</v>
      </c>
      <c r="J14" s="16" t="n">
        <f aca="false">G14*H14+I14*F14</f>
        <v>6736.092544</v>
      </c>
      <c r="K14" s="28" t="n">
        <f aca="false">F14</f>
        <v>400</v>
      </c>
      <c r="L14" s="32" t="n">
        <v>0</v>
      </c>
    </row>
    <row r="15" customFormat="false" ht="50.6" hidden="false" customHeight="false" outlineLevel="0" collapsed="false">
      <c r="A15" s="24" t="n">
        <v>11</v>
      </c>
      <c r="B15" s="25" t="s">
        <v>26</v>
      </c>
      <c r="C15" s="26" t="n">
        <v>1.15</v>
      </c>
      <c r="D15" s="13" t="s">
        <v>14</v>
      </c>
      <c r="E15" s="27" t="n">
        <f aca="false">157.5*1.15*7.93*6/1000</f>
        <v>8.6179275</v>
      </c>
      <c r="F15" s="15" t="n">
        <v>100</v>
      </c>
      <c r="G15" s="16" t="n">
        <f aca="false">E15*F15</f>
        <v>861.79275</v>
      </c>
      <c r="H15" s="16" t="n">
        <v>8.05</v>
      </c>
      <c r="I15" s="30"/>
      <c r="J15" s="16" t="n">
        <f aca="false">H15*G15</f>
        <v>6937.4316375</v>
      </c>
      <c r="K15" s="28" t="n">
        <f aca="false">F15</f>
        <v>100</v>
      </c>
      <c r="L15" s="32" t="n">
        <v>100</v>
      </c>
    </row>
    <row r="16" customFormat="false" ht="50.6" hidden="false" customHeight="false" outlineLevel="0" collapsed="false">
      <c r="A16" s="24" t="n">
        <v>12</v>
      </c>
      <c r="B16" s="38" t="s">
        <v>27</v>
      </c>
      <c r="C16" s="12" t="n">
        <v>0.65</v>
      </c>
      <c r="D16" s="39" t="s">
        <v>14</v>
      </c>
      <c r="E16" s="23" t="n">
        <f aca="false">77*0.65*7.93*6/1000</f>
        <v>2.381379</v>
      </c>
      <c r="F16" s="15" t="n">
        <v>800</v>
      </c>
      <c r="G16" s="16" t="n">
        <f aca="false">E16*F16</f>
        <v>1905.1032</v>
      </c>
      <c r="H16" s="16" t="n">
        <v>8.05</v>
      </c>
      <c r="I16" s="40" t="n">
        <v>2.5</v>
      </c>
      <c r="J16" s="16" t="n">
        <f aca="false">G16*H16+I16*F16</f>
        <v>17336.08076</v>
      </c>
      <c r="K16" s="28" t="n">
        <f aca="false">F16</f>
        <v>800</v>
      </c>
      <c r="L16" s="32" t="n">
        <v>0</v>
      </c>
    </row>
    <row r="17" customFormat="false" ht="50.6" hidden="false" customHeight="false" outlineLevel="0" collapsed="false">
      <c r="A17" s="24" t="n">
        <v>13</v>
      </c>
      <c r="B17" s="25" t="s">
        <v>28</v>
      </c>
      <c r="C17" s="33" t="n">
        <v>0.65</v>
      </c>
      <c r="D17" s="13" t="s">
        <v>14</v>
      </c>
      <c r="E17" s="34" t="n">
        <f aca="false">58.5*0.64*7.93*6/1000</f>
        <v>1.7813952</v>
      </c>
      <c r="F17" s="15" t="n">
        <v>2000</v>
      </c>
      <c r="G17" s="16" t="n">
        <f aca="false">E17*F17</f>
        <v>3562.7904</v>
      </c>
      <c r="H17" s="16" t="n">
        <v>8.05</v>
      </c>
      <c r="I17" s="30"/>
      <c r="J17" s="16" t="n">
        <f aca="false">H17*G17</f>
        <v>28680.46272</v>
      </c>
      <c r="K17" s="28" t="n">
        <f aca="false">F17</f>
        <v>2000</v>
      </c>
      <c r="L17" s="32" t="n">
        <v>0</v>
      </c>
    </row>
    <row r="18" customFormat="false" ht="50.6" hidden="false" customHeight="false" outlineLevel="0" collapsed="false">
      <c r="A18" s="24" t="n">
        <v>14</v>
      </c>
      <c r="B18" s="25" t="s">
        <v>29</v>
      </c>
      <c r="C18" s="26" t="n">
        <v>0.85</v>
      </c>
      <c r="D18" s="41" t="s">
        <v>14</v>
      </c>
      <c r="E18" s="27" t="n">
        <f aca="false">150*0.84*7.93*6/1000</f>
        <v>5.99508</v>
      </c>
      <c r="F18" s="15" t="n">
        <v>200</v>
      </c>
      <c r="G18" s="16" t="n">
        <f aca="false">E18*F18</f>
        <v>1199.016</v>
      </c>
      <c r="H18" s="16" t="n">
        <v>8.05</v>
      </c>
      <c r="I18" s="30"/>
      <c r="J18" s="16" t="n">
        <f aca="false">H18*G18</f>
        <v>9652.0788</v>
      </c>
      <c r="K18" s="28" t="n">
        <f aca="false">F18</f>
        <v>200</v>
      </c>
      <c r="L18" s="32" t="n">
        <v>0</v>
      </c>
    </row>
    <row r="19" customFormat="false" ht="50.6" hidden="false" customHeight="false" outlineLevel="0" collapsed="false">
      <c r="A19" s="24" t="n">
        <v>15</v>
      </c>
      <c r="B19" s="25" t="s">
        <v>30</v>
      </c>
      <c r="C19" s="26" t="n">
        <v>0.65</v>
      </c>
      <c r="D19" s="41" t="s">
        <v>14</v>
      </c>
      <c r="E19" s="27" t="n">
        <f aca="false">58*0.64*7.93*6/1000</f>
        <v>1.7661696</v>
      </c>
      <c r="F19" s="15" t="n">
        <v>200</v>
      </c>
      <c r="G19" s="16" t="n">
        <f aca="false">E19*F19</f>
        <v>353.23392</v>
      </c>
      <c r="H19" s="16" t="n">
        <v>8.05</v>
      </c>
      <c r="I19" s="30"/>
      <c r="J19" s="16" t="n">
        <f aca="false">H19*G19</f>
        <v>2843.533056</v>
      </c>
      <c r="K19" s="28" t="n">
        <f aca="false">F19</f>
        <v>200</v>
      </c>
      <c r="L19" s="32" t="n">
        <v>199</v>
      </c>
    </row>
    <row r="20" customFormat="false" ht="50.6" hidden="false" customHeight="false" outlineLevel="0" collapsed="false">
      <c r="A20" s="24" t="n">
        <v>16</v>
      </c>
      <c r="B20" s="25" t="s">
        <v>31</v>
      </c>
      <c r="C20" s="26" t="n">
        <v>0.85</v>
      </c>
      <c r="D20" s="41" t="s">
        <v>14</v>
      </c>
      <c r="E20" s="27" t="n">
        <f aca="false">158*0.85*7.93*6/1000</f>
        <v>6.389994</v>
      </c>
      <c r="F20" s="15" t="n">
        <v>300</v>
      </c>
      <c r="G20" s="16" t="n">
        <f aca="false">E20*F20</f>
        <v>1916.9982</v>
      </c>
      <c r="H20" s="16" t="n">
        <v>8.05</v>
      </c>
      <c r="I20" s="30"/>
      <c r="J20" s="16" t="n">
        <f aca="false">H20*G20</f>
        <v>15431.83551</v>
      </c>
      <c r="K20" s="28" t="n">
        <f aca="false">F20</f>
        <v>300</v>
      </c>
      <c r="L20" s="20" t="n">
        <v>73</v>
      </c>
    </row>
    <row r="21" customFormat="false" ht="50.6" hidden="false" customHeight="false" outlineLevel="0" collapsed="false">
      <c r="A21" s="24" t="n">
        <v>17</v>
      </c>
      <c r="B21" s="25" t="s">
        <v>32</v>
      </c>
      <c r="C21" s="26" t="n">
        <v>0.85</v>
      </c>
      <c r="D21" s="41" t="s">
        <v>14</v>
      </c>
      <c r="E21" s="27" t="n">
        <f aca="false">198*0.84*7.93*6/1000</f>
        <v>7.9135056</v>
      </c>
      <c r="F21" s="15" t="n">
        <v>200</v>
      </c>
      <c r="G21" s="16" t="n">
        <f aca="false">E21*F21</f>
        <v>1582.70112</v>
      </c>
      <c r="H21" s="16" t="n">
        <v>8.05</v>
      </c>
      <c r="I21" s="30"/>
      <c r="J21" s="16" t="n">
        <f aca="false">H21*G21</f>
        <v>12740.744016</v>
      </c>
      <c r="K21" s="28" t="n">
        <f aca="false">F21</f>
        <v>200</v>
      </c>
      <c r="L21" s="32" t="n">
        <v>0</v>
      </c>
    </row>
    <row r="22" customFormat="false" ht="50.6" hidden="false" customHeight="false" outlineLevel="0" collapsed="false">
      <c r="A22" s="24" t="n">
        <v>18</v>
      </c>
      <c r="B22" s="29" t="s">
        <v>33</v>
      </c>
      <c r="C22" s="42" t="n">
        <v>0.85</v>
      </c>
      <c r="D22" s="41" t="s">
        <v>14</v>
      </c>
      <c r="E22" s="43" t="n">
        <f aca="false">98*0.85*7.93*6/1000</f>
        <v>3.963414</v>
      </c>
      <c r="F22" s="15" t="n">
        <v>2000</v>
      </c>
      <c r="G22" s="16" t="n">
        <f aca="false">E22*F22</f>
        <v>7926.828</v>
      </c>
      <c r="H22" s="16" t="n">
        <v>8.05</v>
      </c>
      <c r="I22" s="30"/>
      <c r="J22" s="16" t="n">
        <f aca="false">H22*G22</f>
        <v>63810.9654</v>
      </c>
      <c r="K22" s="28" t="n">
        <f aca="false">F22</f>
        <v>2000</v>
      </c>
      <c r="L22" s="20" t="n">
        <v>2450</v>
      </c>
    </row>
    <row r="23" customFormat="false" ht="50.6" hidden="false" customHeight="false" outlineLevel="0" collapsed="false">
      <c r="A23" s="24" t="n">
        <v>19</v>
      </c>
      <c r="B23" s="25" t="s">
        <v>34</v>
      </c>
      <c r="C23" s="42" t="n">
        <v>0.85</v>
      </c>
      <c r="D23" s="41" t="s">
        <v>14</v>
      </c>
      <c r="E23" s="27" t="n">
        <f aca="false">78*0.84*7.93*6/1000</f>
        <v>3.1174416</v>
      </c>
      <c r="F23" s="15" t="n">
        <v>100</v>
      </c>
      <c r="G23" s="16" t="n">
        <f aca="false">E23*F23</f>
        <v>311.74416</v>
      </c>
      <c r="H23" s="16" t="n">
        <v>8.05</v>
      </c>
      <c r="I23" s="30"/>
      <c r="J23" s="16" t="n">
        <f aca="false">H23*G23</f>
        <v>2509.540488</v>
      </c>
      <c r="K23" s="28" t="n">
        <f aca="false">F23</f>
        <v>100</v>
      </c>
      <c r="L23" s="32" t="n">
        <v>0</v>
      </c>
    </row>
    <row r="24" customFormat="false" ht="50.6" hidden="false" customHeight="false" outlineLevel="0" collapsed="false">
      <c r="A24" s="24" t="n">
        <v>20</v>
      </c>
      <c r="B24" s="25" t="s">
        <v>35</v>
      </c>
      <c r="C24" s="42" t="n">
        <v>0.85</v>
      </c>
      <c r="D24" s="41" t="s">
        <v>14</v>
      </c>
      <c r="E24" s="27" t="n">
        <f aca="false">78*0.84*7.93*6/1000</f>
        <v>3.1174416</v>
      </c>
      <c r="F24" s="15" t="n">
        <v>100</v>
      </c>
      <c r="G24" s="16" t="n">
        <f aca="false">E24*F24</f>
        <v>311.74416</v>
      </c>
      <c r="H24" s="16" t="n">
        <v>8.05</v>
      </c>
      <c r="I24" s="30"/>
      <c r="J24" s="16" t="n">
        <f aca="false">H24*G24</f>
        <v>2509.540488</v>
      </c>
      <c r="K24" s="28" t="n">
        <f aca="false">F24</f>
        <v>100</v>
      </c>
      <c r="L24" s="32" t="n">
        <v>100</v>
      </c>
    </row>
    <row r="25" customFormat="false" ht="50.6" hidden="false" customHeight="false" outlineLevel="0" collapsed="false">
      <c r="A25" s="24" t="n">
        <v>21</v>
      </c>
      <c r="B25" s="25" t="s">
        <v>36</v>
      </c>
      <c r="C25" s="26" t="n">
        <v>0.85</v>
      </c>
      <c r="D25" s="41" t="s">
        <v>14</v>
      </c>
      <c r="E25" s="27" t="n">
        <f aca="false">118*0.84*7.93*6/1000</f>
        <v>4.7161296</v>
      </c>
      <c r="F25" s="15" t="n">
        <v>300</v>
      </c>
      <c r="G25" s="16" t="n">
        <f aca="false">E25*F25</f>
        <v>1414.83888</v>
      </c>
      <c r="H25" s="16" t="n">
        <v>8.05</v>
      </c>
      <c r="I25" s="30"/>
      <c r="J25" s="16" t="n">
        <f aca="false">H25*G25</f>
        <v>11389.452984</v>
      </c>
      <c r="K25" s="28" t="n">
        <f aca="false">F25</f>
        <v>300</v>
      </c>
      <c r="L25" s="32" t="n">
        <v>300</v>
      </c>
    </row>
    <row r="26" customFormat="false" ht="50.6" hidden="false" customHeight="false" outlineLevel="0" collapsed="false">
      <c r="A26" s="24" t="n">
        <v>22</v>
      </c>
      <c r="B26" s="25" t="s">
        <v>37</v>
      </c>
      <c r="C26" s="26" t="n">
        <v>1.15</v>
      </c>
      <c r="D26" s="41" t="s">
        <v>14</v>
      </c>
      <c r="E26" s="27" t="n">
        <f aca="false">158*1.15*7.93*6/1000</f>
        <v>8.645286</v>
      </c>
      <c r="F26" s="15" t="n">
        <v>100</v>
      </c>
      <c r="G26" s="16" t="n">
        <f aca="false">E26*F26</f>
        <v>864.5286</v>
      </c>
      <c r="H26" s="16" t="n">
        <v>8.05</v>
      </c>
      <c r="I26" s="30"/>
      <c r="J26" s="16" t="n">
        <f aca="false">H26*G26</f>
        <v>6959.45523</v>
      </c>
      <c r="K26" s="28" t="n">
        <f aca="false">F26</f>
        <v>100</v>
      </c>
      <c r="L26" s="32" t="n">
        <v>100</v>
      </c>
    </row>
    <row r="27" customFormat="false" ht="84.3" hidden="false" customHeight="false" outlineLevel="0" collapsed="false">
      <c r="A27" s="44"/>
      <c r="B27" s="45" t="s">
        <v>38</v>
      </c>
      <c r="C27" s="46"/>
      <c r="D27" s="47"/>
      <c r="E27" s="48"/>
      <c r="F27" s="49"/>
      <c r="G27" s="50"/>
      <c r="H27" s="50"/>
      <c r="I27" s="51"/>
      <c r="J27" s="50"/>
      <c r="K27" s="52" t="n">
        <f aca="false">N27/1000</f>
        <v>0</v>
      </c>
      <c r="L27" s="53" t="n">
        <f aca="false">M27/1000</f>
        <v>0</v>
      </c>
    </row>
  </sheetData>
  <printOptions headings="false" gridLines="false" gridLinesSet="true" horizontalCentered="false" verticalCentered="false"/>
  <pageMargins left="0.7875" right="0.7875" top="1.05277777777778" bottom="1.05277777777778" header="0.7875" footer="0.7875"/>
  <pageSetup paperSize="9" scale="100" fitToWidth="1" fitToHeight="1" pageOrder="downThenOver" orientation="portrait" blackAndWhite="false" draft="false" cellComments="none" firstPageNumber="1" useFirstPageNumber="true" horizontalDpi="300" verticalDpi="300" copies="1"/>
  <headerFooter differentFirst="false" differentOddEven="false">
    <oddHeader>&amp;C&amp;"Times New Roman,Обычный"&amp;12&amp;A</oddHeader>
    <oddFooter>&amp;C&amp;"Times New Roman,Обычный"&amp;12Страница &amp;P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LibreOffice/26.2.4.2$Windows_X86_64 LibreOffice_project/0229ac93fcf0d7cbc6376066c6f35021cef002dc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2026-06-16T09:36:15Z</dcterms:created>
  <dc:creator/>
  <dc:description/>
  <dc:language>ru-RU</dc:language>
  <cp:lastModifiedBy/>
  <dcterms:modified xsi:type="dcterms:W3CDTF">2026-06-16T09:36:43Z</dcterms:modified>
  <cp:revision>1</cp:revision>
  <dc:subject/>
  <dc:title/>
</cp:coreProperties>
</file>