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HP\Desktop\"/>
    </mc:Choice>
  </mc:AlternateContent>
  <xr:revisionPtr revIDLastSave="0" documentId="8_{9827EA73-B9AD-4100-9391-311B88D968D9}" xr6:coauthVersionLast="47" xr6:coauthVersionMax="47" xr10:uidLastSave="{00000000-0000-0000-0000-000000000000}"/>
  <bookViews>
    <workbookView xWindow="-108" yWindow="-108" windowWidth="23256" windowHeight="13176" xr2:uid="{DADFB5C3-F680-45F7-BD60-2B28C4C145E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C18" i="1"/>
  <c r="D18" i="1"/>
  <c r="E18" i="1"/>
  <c r="H18" i="1"/>
  <c r="H25" i="1"/>
  <c r="H26" i="1"/>
  <c r="H27" i="1"/>
  <c r="H40" i="1" s="1"/>
  <c r="H28" i="1"/>
  <c r="H29" i="1"/>
  <c r="H30" i="1"/>
  <c r="C40" i="1"/>
  <c r="D40" i="1"/>
  <c r="E40" i="1"/>
  <c r="H47" i="1"/>
  <c r="H48" i="1"/>
  <c r="H49" i="1"/>
  <c r="H50" i="1"/>
  <c r="H51" i="1"/>
  <c r="H52" i="1"/>
  <c r="H57" i="1"/>
  <c r="C62" i="1"/>
  <c r="D62" i="1"/>
  <c r="E62" i="1"/>
  <c r="H62" i="1"/>
  <c r="H69" i="1"/>
  <c r="H70" i="1"/>
  <c r="H71" i="1"/>
  <c r="H72" i="1"/>
  <c r="H73" i="1"/>
  <c r="H84" i="1" s="1"/>
  <c r="H74" i="1"/>
  <c r="H75" i="1"/>
  <c r="H76" i="1"/>
  <c r="C84" i="1"/>
  <c r="D84" i="1"/>
  <c r="E84" i="1"/>
  <c r="H91" i="1"/>
  <c r="H106" i="1" s="1"/>
  <c r="H92" i="1"/>
  <c r="H93" i="1"/>
  <c r="H94" i="1"/>
  <c r="H95" i="1"/>
  <c r="H96" i="1"/>
  <c r="H97" i="1"/>
  <c r="H98" i="1"/>
  <c r="H99" i="1"/>
  <c r="C106" i="1"/>
  <c r="D106" i="1"/>
  <c r="E106" i="1"/>
  <c r="H113" i="1"/>
  <c r="H114" i="1"/>
  <c r="H115" i="1"/>
  <c r="H116" i="1"/>
  <c r="H128" i="1" s="1"/>
  <c r="H117" i="1"/>
  <c r="H118" i="1"/>
  <c r="H119" i="1"/>
  <c r="C128" i="1"/>
  <c r="D128" i="1"/>
  <c r="E128" i="1"/>
  <c r="H135" i="1"/>
  <c r="H136" i="1"/>
  <c r="H150" i="1" s="1"/>
  <c r="H137" i="1"/>
  <c r="H138" i="1"/>
  <c r="H139" i="1"/>
  <c r="C150" i="1"/>
  <c r="D150" i="1"/>
  <c r="E150" i="1"/>
  <c r="H157" i="1"/>
  <c r="H171" i="1" s="1"/>
  <c r="H158" i="1"/>
  <c r="H159" i="1"/>
  <c r="H160" i="1"/>
  <c r="C171" i="1"/>
  <c r="D171" i="1"/>
  <c r="E171" i="1"/>
  <c r="H178" i="1"/>
  <c r="H192" i="1" s="1"/>
  <c r="H179" i="1"/>
  <c r="H180" i="1"/>
  <c r="H181" i="1"/>
  <c r="C192" i="1"/>
  <c r="D192" i="1"/>
  <c r="E192" i="1"/>
  <c r="H199" i="1"/>
  <c r="H200" i="1"/>
  <c r="H213" i="1" s="1"/>
  <c r="H201" i="1"/>
  <c r="H202" i="1"/>
  <c r="H203" i="1"/>
  <c r="C213" i="1"/>
  <c r="D213" i="1"/>
  <c r="E213" i="1"/>
  <c r="H220" i="1"/>
  <c r="H234" i="1" s="1"/>
  <c r="H221" i="1"/>
  <c r="H222" i="1"/>
  <c r="H223" i="1"/>
  <c r="H224" i="1"/>
  <c r="H225" i="1"/>
  <c r="H226" i="1"/>
  <c r="H227" i="1"/>
  <c r="H228" i="1"/>
  <c r="H229" i="1"/>
  <c r="C234" i="1"/>
  <c r="D234" i="1"/>
  <c r="E234" i="1"/>
  <c r="H241" i="1"/>
  <c r="H255" i="1" s="1"/>
  <c r="H242" i="1"/>
  <c r="H243" i="1"/>
  <c r="C255" i="1"/>
  <c r="D255" i="1"/>
  <c r="E255" i="1"/>
</calcChain>
</file>

<file path=xl/sharedStrings.xml><?xml version="1.0" encoding="utf-8"?>
<sst xmlns="http://schemas.openxmlformats.org/spreadsheetml/2006/main" count="266" uniqueCount="94">
  <si>
    <t>小柜1</t>
  </si>
  <si>
    <t xml:space="preserve">    克力木装箱单      </t>
  </si>
  <si>
    <t>规格</t>
  </si>
  <si>
    <t>材质</t>
  </si>
  <si>
    <t>件数</t>
  </si>
  <si>
    <t>支数</t>
  </si>
  <si>
    <t>重量(Kg)</t>
  </si>
  <si>
    <t>单价</t>
  </si>
  <si>
    <t>加工费</t>
  </si>
  <si>
    <t>金额</t>
  </si>
  <si>
    <t>0.85*50.8*5800</t>
  </si>
  <si>
    <t>0.85*25*25*5800</t>
  </si>
  <si>
    <t xml:space="preserve">1.05*30*10*5800 </t>
  </si>
  <si>
    <t>201/J1</t>
  </si>
  <si>
    <t>板厂重量</t>
  </si>
  <si>
    <t>合计：</t>
  </si>
  <si>
    <t>备注</t>
  </si>
  <si>
    <t>柜号:TCIU2665880</t>
  </si>
  <si>
    <t>封条：258857</t>
  </si>
  <si>
    <t>车牌：粤AFW841</t>
  </si>
  <si>
    <t>小柜2</t>
  </si>
  <si>
    <t>1.35*38*38*5800</t>
  </si>
  <si>
    <t>0.65*40*20*5800</t>
  </si>
  <si>
    <t>柜号:TCIU2225536</t>
  </si>
  <si>
    <t>封条：260358</t>
  </si>
  <si>
    <t>车牌：粤AFX167</t>
  </si>
  <si>
    <t>大柜1</t>
  </si>
  <si>
    <t>0.85*40*40*6000</t>
  </si>
  <si>
    <t>0.85*50.8*6000</t>
  </si>
  <si>
    <t>1.05*30*15*6000D型管</t>
  </si>
  <si>
    <t>0.85*25*25*6000</t>
  </si>
  <si>
    <t>0.65*16*6000</t>
  </si>
  <si>
    <t>东恒宏钢外调</t>
  </si>
  <si>
    <t>柜号:FSCU9142129</t>
  </si>
  <si>
    <t>封条：260430</t>
  </si>
  <si>
    <t>车牌：粤ACG519</t>
  </si>
  <si>
    <t>大柜2</t>
  </si>
  <si>
    <t>0.75*40*40*6000</t>
  </si>
  <si>
    <t>1.35*50*50*6000</t>
  </si>
  <si>
    <t>0.65*25*25*6000</t>
  </si>
  <si>
    <t>柜号:FCIU8027121</t>
  </si>
  <si>
    <t>封条：258757</t>
  </si>
  <si>
    <t>车牌：粤AHF730</t>
  </si>
  <si>
    <t>挂车</t>
  </si>
  <si>
    <t>0.65*19*6000</t>
  </si>
  <si>
    <t>0.85*25*6000</t>
  </si>
  <si>
    <t>0.85*30*30*6000</t>
  </si>
  <si>
    <t>0.85*38*38*6000</t>
  </si>
  <si>
    <t>0.85*50*50*6000</t>
  </si>
  <si>
    <t>0.85*40*20*6000</t>
  </si>
  <si>
    <t>0.85*50*25*6000</t>
  </si>
  <si>
    <t>吊带</t>
  </si>
  <si>
    <t>外调板重量</t>
  </si>
  <si>
    <t>配件重量</t>
  </si>
  <si>
    <t>柜号:</t>
  </si>
  <si>
    <t>封条：</t>
  </si>
  <si>
    <t>车牌：吉ATY123</t>
  </si>
  <si>
    <t>拼柜1</t>
  </si>
  <si>
    <t>0.65*9.5*6000</t>
  </si>
  <si>
    <t>0.30*16*6000</t>
  </si>
  <si>
    <t>1.85*102*6000</t>
  </si>
  <si>
    <t>2.8*76*2000</t>
  </si>
  <si>
    <t>J3单抛0.28*313</t>
  </si>
  <si>
    <t>J3单抛0.28*187</t>
  </si>
  <si>
    <t>家具装卸费</t>
  </si>
  <si>
    <t>柜号:WSK9269655</t>
  </si>
  <si>
    <t>封条：900000</t>
  </si>
  <si>
    <t>车牌：冀B5389K</t>
  </si>
  <si>
    <t>0.65*16*5800</t>
  </si>
  <si>
    <t>0.65*25*25*5800</t>
  </si>
  <si>
    <t>柜号:FCIU2624372</t>
  </si>
  <si>
    <t>封条：000797</t>
  </si>
  <si>
    <t>车牌：粤AJL615</t>
  </si>
  <si>
    <t>柜号:GESU1447750</t>
  </si>
  <si>
    <t>封条：000825</t>
  </si>
  <si>
    <t>车牌：粤ACV800</t>
  </si>
  <si>
    <t>小柜3</t>
  </si>
  <si>
    <t>柜号:FCIU2791370</t>
  </si>
  <si>
    <t>封条：000777</t>
  </si>
  <si>
    <t>车牌：粤AHV008</t>
  </si>
  <si>
    <t>小柜4</t>
  </si>
  <si>
    <t>1.15*25*25*5800</t>
  </si>
  <si>
    <t>柜号:GESU1111873</t>
  </si>
  <si>
    <t>封条：023220</t>
  </si>
  <si>
    <t>车牌：粤AAR686</t>
  </si>
  <si>
    <t>1.85*25*6000</t>
  </si>
  <si>
    <t>1.85*32*6000</t>
  </si>
  <si>
    <t>1.85*50.8*6000</t>
  </si>
  <si>
    <t>柜号:TTNU4793955</t>
  </si>
  <si>
    <t>封条：012087</t>
  </si>
  <si>
    <t>车牌：粤ADG268</t>
  </si>
  <si>
    <t>柜号:TTNU4517664</t>
  </si>
  <si>
    <t>封条：JF6951037</t>
  </si>
  <si>
    <t>车牌：粤AGH665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</si>
</sst>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_ "/>
    <numFmt numFmtId="169" formatCode="dd\.mm\.yyyy"/>
  </numFmts>
  <fonts count="8">
    <font>
      <sz val="11"/>
      <color theme="1"/>
      <name val="Calibri"/>
      <family val="2"/>
      <charset val="204"/>
      <scheme val="minor"/>
    </font>
    <font>
      <sz val="11"/>
      <color indexed="8"/>
      <name val="Calibri"/>
      <charset val="134"/>
    </font>
    <font>
      <sz val="14"/>
      <color indexed="10"/>
      <name val="Calibri"/>
      <charset val="134"/>
    </font>
    <font>
      <sz val="22"/>
      <color indexed="8"/>
      <name val="Calibri"/>
      <charset val="134"/>
    </font>
    <font>
      <sz val="14"/>
      <color indexed="8"/>
      <name val="Calibri"/>
      <charset val="134"/>
    </font>
    <font>
      <sz val="14"/>
      <name val="Calibri"/>
      <charset val="134"/>
    </font>
    <font>
      <b/>
      <sz val="14"/>
      <color indexed="10"/>
      <name val="Calibri"/>
      <charset val="134"/>
    </font>
    <font>
      <b/>
      <sz val="14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168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168" fontId="2" fillId="0" borderId="0" xfId="0" applyNumberFormat="1" applyFont="1" applyFill="1" applyBorder="1" applyAlignment="1" applyProtection="1">
      <alignment horizontal="center"/>
    </xf>
    <xf numFmtId="169" fontId="4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168" fontId="4" fillId="0" borderId="1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vertical="center"/>
    </xf>
    <xf numFmtId="168" fontId="5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168" fontId="7" fillId="0" borderId="1" xfId="0" applyNumberFormat="1" applyFont="1" applyFill="1" applyBorder="1" applyAlignment="1" applyProtection="1">
      <alignment horizontal="center" vertical="center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6" xfId="0" applyNumberFormat="1" applyFont="1" applyFill="1" applyBorder="1" applyAlignment="1" applyProtection="1">
      <alignment horizontal="left" vertical="center"/>
    </xf>
    <xf numFmtId="0" fontId="2" fillId="0" borderId="5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7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9" xfId="0" applyNumberFormat="1" applyFont="1" applyFill="1" applyBorder="1" applyAlignment="1" applyProtection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0DEE3-9F19-4611-8EBE-6629A3FAE91E}">
  <dimension ref="A1:H259"/>
  <sheetViews>
    <sheetView tabSelected="1" workbookViewId="0">
      <selection activeCell="G1" sqref="G1"/>
    </sheetView>
  </sheetViews>
  <sheetFormatPr defaultRowHeight="14.4"/>
  <cols>
    <col min="1" max="1" width="56.6640625" customWidth="1"/>
    <col min="2" max="2" width="24.77734375" customWidth="1"/>
    <col min="5" max="5" width="17.88671875" customWidth="1"/>
    <col min="6" max="6" width="19" customWidth="1"/>
    <col min="7" max="7" width="23.33203125" customWidth="1"/>
    <col min="8" max="8" width="37.6640625" customWidth="1"/>
  </cols>
  <sheetData>
    <row r="1" spans="1:8" ht="28.8">
      <c r="A1" s="4" t="s">
        <v>0</v>
      </c>
      <c r="B1" s="5" t="s">
        <v>1</v>
      </c>
      <c r="C1" s="5"/>
      <c r="D1" s="5"/>
      <c r="E1" s="5"/>
      <c r="F1" s="2"/>
      <c r="G1" s="6"/>
      <c r="H1" s="7">
        <v>46149</v>
      </c>
    </row>
    <row r="2" spans="1:8" ht="18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9" t="s">
        <v>8</v>
      </c>
      <c r="H2" s="8" t="s">
        <v>9</v>
      </c>
    </row>
    <row r="3" spans="1:8" ht="18">
      <c r="A3" s="10" t="s">
        <v>10</v>
      </c>
      <c r="B3" s="8">
        <v>201</v>
      </c>
      <c r="C3" s="8">
        <v>191</v>
      </c>
      <c r="D3" s="8">
        <v>955</v>
      </c>
      <c r="E3" s="8">
        <v>5991</v>
      </c>
      <c r="F3" s="11">
        <v>7.9</v>
      </c>
      <c r="G3" s="9"/>
      <c r="H3" s="8">
        <f>F3*E3</f>
        <v>47328.9</v>
      </c>
    </row>
    <row r="4" spans="1:8" ht="18">
      <c r="A4" s="10" t="s">
        <v>11</v>
      </c>
      <c r="B4" s="8">
        <v>201</v>
      </c>
      <c r="C4" s="8">
        <v>51</v>
      </c>
      <c r="D4" s="8">
        <v>507</v>
      </c>
      <c r="E4" s="8">
        <v>1946</v>
      </c>
      <c r="F4" s="8">
        <v>7.83</v>
      </c>
      <c r="G4" s="9"/>
      <c r="H4" s="8">
        <f>F4*E4</f>
        <v>15237.18</v>
      </c>
    </row>
    <row r="5" spans="1:8" ht="18">
      <c r="A5" s="10" t="s">
        <v>12</v>
      </c>
      <c r="B5" s="8" t="s">
        <v>13</v>
      </c>
      <c r="C5" s="8">
        <v>164</v>
      </c>
      <c r="D5" s="8">
        <v>1641</v>
      </c>
      <c r="E5" s="8">
        <v>6099</v>
      </c>
      <c r="F5" s="8">
        <v>9</v>
      </c>
      <c r="G5" s="9"/>
      <c r="H5" s="8">
        <f>F5*E5</f>
        <v>54891</v>
      </c>
    </row>
    <row r="6" spans="1:8" ht="18">
      <c r="A6" s="10"/>
      <c r="B6" s="8"/>
      <c r="C6" s="8"/>
      <c r="D6" s="8"/>
      <c r="E6" s="8"/>
      <c r="F6" s="8"/>
      <c r="G6" s="9"/>
      <c r="H6" s="8"/>
    </row>
    <row r="7" spans="1:8" ht="18">
      <c r="A7" s="12"/>
      <c r="B7" s="11"/>
      <c r="C7" s="11"/>
      <c r="D7" s="11"/>
      <c r="E7" s="11"/>
      <c r="F7" s="8"/>
      <c r="G7" s="9"/>
      <c r="H7" s="8"/>
    </row>
    <row r="8" spans="1:8" ht="18">
      <c r="A8" s="12"/>
      <c r="B8" s="11"/>
      <c r="C8" s="11"/>
      <c r="D8" s="11"/>
      <c r="E8" s="11"/>
      <c r="F8" s="8"/>
      <c r="G8" s="9"/>
      <c r="H8" s="8"/>
    </row>
    <row r="9" spans="1:8" ht="18">
      <c r="A9" s="12"/>
      <c r="B9" s="11"/>
      <c r="C9" s="11"/>
      <c r="D9" s="11"/>
      <c r="E9" s="11"/>
      <c r="F9" s="8"/>
      <c r="G9" s="9"/>
      <c r="H9" s="8"/>
    </row>
    <row r="10" spans="1:8" ht="18">
      <c r="A10" s="12"/>
      <c r="B10" s="11"/>
      <c r="C10" s="11"/>
      <c r="D10" s="11"/>
      <c r="E10" s="11"/>
      <c r="F10" s="11"/>
      <c r="G10" s="13"/>
      <c r="H10" s="8"/>
    </row>
    <row r="11" spans="1:8" ht="18">
      <c r="A11" s="12"/>
      <c r="B11" s="11"/>
      <c r="C11" s="11"/>
      <c r="D11" s="11"/>
      <c r="E11" s="11"/>
      <c r="F11" s="11"/>
      <c r="G11" s="13"/>
      <c r="H11" s="8"/>
    </row>
    <row r="12" spans="1:8" ht="18">
      <c r="A12" s="12"/>
      <c r="B12" s="11"/>
      <c r="C12" s="11"/>
      <c r="D12" s="11"/>
      <c r="E12" s="11"/>
      <c r="F12" s="8"/>
      <c r="G12" s="9"/>
      <c r="H12" s="8"/>
    </row>
    <row r="13" spans="1:8" ht="18">
      <c r="A13" s="14" t="s">
        <v>14</v>
      </c>
      <c r="B13" s="15"/>
      <c r="C13" s="15"/>
      <c r="D13" s="15"/>
      <c r="E13" s="15">
        <v>13972</v>
      </c>
      <c r="F13" s="8"/>
      <c r="G13" s="9"/>
      <c r="H13" s="8"/>
    </row>
    <row r="14" spans="1:8" ht="18">
      <c r="A14" s="14"/>
      <c r="B14" s="15"/>
      <c r="C14" s="15"/>
      <c r="D14" s="15"/>
      <c r="E14" s="15"/>
      <c r="F14" s="15"/>
      <c r="G14" s="9"/>
      <c r="H14" s="15"/>
    </row>
    <row r="15" spans="1:8" ht="18">
      <c r="A15" s="12"/>
      <c r="B15" s="11"/>
      <c r="C15" s="11"/>
      <c r="D15" s="11"/>
      <c r="E15" s="11"/>
      <c r="F15" s="8"/>
      <c r="G15" s="9"/>
      <c r="H15" s="8"/>
    </row>
    <row r="16" spans="1:8" ht="18">
      <c r="A16" s="16"/>
      <c r="B16" s="17"/>
      <c r="C16" s="17"/>
      <c r="D16" s="17"/>
      <c r="E16" s="17"/>
      <c r="F16" s="8"/>
      <c r="G16" s="9"/>
      <c r="H16" s="8"/>
    </row>
    <row r="17" spans="1:8" ht="18">
      <c r="A17" s="10"/>
      <c r="B17" s="8"/>
      <c r="C17" s="8"/>
      <c r="D17" s="8"/>
      <c r="E17" s="8"/>
      <c r="F17" s="8"/>
      <c r="G17" s="9"/>
      <c r="H17" s="8"/>
    </row>
    <row r="18" spans="1:8" ht="18">
      <c r="A18" s="17" t="s">
        <v>15</v>
      </c>
      <c r="B18" s="17"/>
      <c r="C18" s="17">
        <f>SUM(C3:C17)</f>
        <v>406</v>
      </c>
      <c r="D18" s="17">
        <f>SUM(D3:D17)</f>
        <v>3103</v>
      </c>
      <c r="E18" s="17">
        <f>SUM(E3:E17)</f>
        <v>28008</v>
      </c>
      <c r="F18" s="17"/>
      <c r="G18" s="18"/>
      <c r="H18" s="17">
        <f>SUM(H3:H17)</f>
        <v>117457.08</v>
      </c>
    </row>
    <row r="19" spans="1:8" ht="18">
      <c r="A19" s="19" t="s">
        <v>16</v>
      </c>
      <c r="B19" s="22" t="s">
        <v>17</v>
      </c>
      <c r="C19" s="23"/>
      <c r="D19" s="23"/>
      <c r="E19" s="23"/>
      <c r="F19" s="23"/>
      <c r="G19" s="23"/>
      <c r="H19" s="24"/>
    </row>
    <row r="20" spans="1:8" ht="18">
      <c r="A20" s="21"/>
      <c r="B20" s="25" t="s">
        <v>18</v>
      </c>
      <c r="C20" s="26"/>
      <c r="D20" s="26"/>
      <c r="E20" s="26"/>
      <c r="F20" s="26"/>
      <c r="G20" s="26"/>
      <c r="H20" s="27"/>
    </row>
    <row r="21" spans="1:8" ht="18">
      <c r="A21" s="20"/>
      <c r="B21" s="28" t="s">
        <v>19</v>
      </c>
      <c r="C21" s="30"/>
      <c r="D21" s="30"/>
      <c r="E21" s="30"/>
      <c r="F21" s="30"/>
      <c r="G21" s="30"/>
      <c r="H21" s="29"/>
    </row>
    <row r="22" spans="1:8">
      <c r="A22" s="1"/>
      <c r="B22" s="2"/>
      <c r="C22" s="2"/>
      <c r="D22" s="2"/>
      <c r="E22" s="2"/>
      <c r="F22" s="2"/>
      <c r="G22" s="3"/>
      <c r="H22" s="2"/>
    </row>
    <row r="23" spans="1:8" ht="28.8">
      <c r="A23" s="4" t="s">
        <v>20</v>
      </c>
      <c r="B23" s="5" t="s">
        <v>1</v>
      </c>
      <c r="C23" s="5"/>
      <c r="D23" s="5"/>
      <c r="E23" s="5"/>
      <c r="F23" s="2"/>
      <c r="G23" s="6"/>
      <c r="H23" s="7">
        <v>46149</v>
      </c>
    </row>
    <row r="24" spans="1:8" ht="18">
      <c r="A24" s="8" t="s">
        <v>2</v>
      </c>
      <c r="B24" s="8" t="s">
        <v>3</v>
      </c>
      <c r="C24" s="8" t="s">
        <v>4</v>
      </c>
      <c r="D24" s="8" t="s">
        <v>5</v>
      </c>
      <c r="E24" s="8" t="s">
        <v>6</v>
      </c>
      <c r="F24" s="8" t="s">
        <v>7</v>
      </c>
      <c r="G24" s="9" t="s">
        <v>8</v>
      </c>
      <c r="H24" s="8" t="s">
        <v>9</v>
      </c>
    </row>
    <row r="25" spans="1:8" ht="18">
      <c r="A25" s="10" t="s">
        <v>10</v>
      </c>
      <c r="B25" s="8">
        <v>201</v>
      </c>
      <c r="C25" s="8">
        <v>111</v>
      </c>
      <c r="D25" s="8">
        <v>552</v>
      </c>
      <c r="E25" s="8">
        <v>3450</v>
      </c>
      <c r="F25" s="11">
        <v>7.83</v>
      </c>
      <c r="G25" s="9"/>
      <c r="H25" s="8">
        <f>F25*E25</f>
        <v>27013.5</v>
      </c>
    </row>
    <row r="26" spans="1:8" ht="18">
      <c r="A26" s="10" t="s">
        <v>11</v>
      </c>
      <c r="B26" s="8">
        <v>201</v>
      </c>
      <c r="C26" s="8">
        <v>34</v>
      </c>
      <c r="D26" s="8">
        <v>342</v>
      </c>
      <c r="E26" s="8">
        <v>1009</v>
      </c>
      <c r="F26" s="8">
        <v>7.9</v>
      </c>
      <c r="G26" s="9"/>
      <c r="H26" s="8">
        <f>F26*E26</f>
        <v>7971.1</v>
      </c>
    </row>
    <row r="27" spans="1:8" ht="18">
      <c r="A27" s="10" t="s">
        <v>11</v>
      </c>
      <c r="B27" s="8">
        <v>201</v>
      </c>
      <c r="C27" s="8">
        <v>62</v>
      </c>
      <c r="D27" s="8">
        <v>614</v>
      </c>
      <c r="E27" s="8">
        <v>2356</v>
      </c>
      <c r="F27" s="8">
        <v>7.83</v>
      </c>
      <c r="G27" s="9"/>
      <c r="H27" s="8">
        <f>F27*E27</f>
        <v>18447.48</v>
      </c>
    </row>
    <row r="28" spans="1:8" ht="18">
      <c r="A28" s="10" t="s">
        <v>21</v>
      </c>
      <c r="B28" s="8">
        <v>201</v>
      </c>
      <c r="C28" s="8">
        <v>75</v>
      </c>
      <c r="D28" s="8">
        <v>300</v>
      </c>
      <c r="E28" s="8">
        <v>2751</v>
      </c>
      <c r="F28" s="8">
        <v>7.8</v>
      </c>
      <c r="G28" s="9"/>
      <c r="H28" s="8">
        <f>F28*E28</f>
        <v>21457.8</v>
      </c>
    </row>
    <row r="29" spans="1:8" ht="18">
      <c r="A29" s="12" t="s">
        <v>22</v>
      </c>
      <c r="B29" s="11">
        <v>201</v>
      </c>
      <c r="C29" s="11">
        <v>30</v>
      </c>
      <c r="D29" s="11">
        <v>240</v>
      </c>
      <c r="E29" s="11">
        <v>863</v>
      </c>
      <c r="F29" s="8">
        <v>7.6</v>
      </c>
      <c r="G29" s="9"/>
      <c r="H29" s="8">
        <f>F29*E29</f>
        <v>6558.7999999999993</v>
      </c>
    </row>
    <row r="30" spans="1:8" ht="18">
      <c r="A30" s="12" t="s">
        <v>12</v>
      </c>
      <c r="B30" s="11" t="s">
        <v>13</v>
      </c>
      <c r="C30" s="11">
        <v>53</v>
      </c>
      <c r="D30" s="11">
        <v>534</v>
      </c>
      <c r="E30" s="11">
        <v>1979</v>
      </c>
      <c r="F30" s="8">
        <v>9</v>
      </c>
      <c r="G30" s="9"/>
      <c r="H30" s="8">
        <f>F30*E30</f>
        <v>17811</v>
      </c>
    </row>
    <row r="31" spans="1:8" ht="18">
      <c r="A31" s="12"/>
      <c r="B31" s="11"/>
      <c r="C31" s="11"/>
      <c r="D31" s="11"/>
      <c r="E31" s="11"/>
      <c r="F31" s="8"/>
      <c r="G31" s="9"/>
      <c r="H31" s="8"/>
    </row>
    <row r="32" spans="1:8" ht="18">
      <c r="A32" s="12"/>
      <c r="B32" s="11"/>
      <c r="C32" s="11"/>
      <c r="D32" s="11"/>
      <c r="E32" s="11"/>
      <c r="F32" s="11"/>
      <c r="G32" s="13"/>
      <c r="H32" s="8"/>
    </row>
    <row r="33" spans="1:8" ht="18">
      <c r="A33" s="12"/>
      <c r="B33" s="11"/>
      <c r="C33" s="11"/>
      <c r="D33" s="11"/>
      <c r="E33" s="11"/>
      <c r="F33" s="11"/>
      <c r="G33" s="13"/>
      <c r="H33" s="8"/>
    </row>
    <row r="34" spans="1:8" ht="18">
      <c r="A34" s="12"/>
      <c r="B34" s="11"/>
      <c r="C34" s="11"/>
      <c r="D34" s="11"/>
      <c r="E34" s="11"/>
      <c r="F34" s="8"/>
      <c r="G34" s="9"/>
      <c r="H34" s="8"/>
    </row>
    <row r="35" spans="1:8" ht="18">
      <c r="A35" s="14" t="s">
        <v>14</v>
      </c>
      <c r="B35" s="15"/>
      <c r="C35" s="15"/>
      <c r="D35" s="15"/>
      <c r="E35" s="15">
        <v>15612</v>
      </c>
      <c r="F35" s="8"/>
      <c r="G35" s="9"/>
      <c r="H35" s="8"/>
    </row>
    <row r="36" spans="1:8" ht="18">
      <c r="A36" s="14"/>
      <c r="B36" s="15"/>
      <c r="C36" s="15"/>
      <c r="D36" s="15"/>
      <c r="E36" s="15"/>
      <c r="F36" s="15"/>
      <c r="G36" s="9"/>
      <c r="H36" s="15"/>
    </row>
    <row r="37" spans="1:8" ht="18">
      <c r="A37" s="12"/>
      <c r="B37" s="11"/>
      <c r="C37" s="11"/>
      <c r="D37" s="11"/>
      <c r="E37" s="11"/>
      <c r="F37" s="8"/>
      <c r="G37" s="9"/>
      <c r="H37" s="8"/>
    </row>
    <row r="38" spans="1:8" ht="18">
      <c r="A38" s="16"/>
      <c r="B38" s="17"/>
      <c r="C38" s="17"/>
      <c r="D38" s="17"/>
      <c r="E38" s="17"/>
      <c r="F38" s="8"/>
      <c r="G38" s="9"/>
      <c r="H38" s="8"/>
    </row>
    <row r="39" spans="1:8" ht="18">
      <c r="A39" s="10"/>
      <c r="B39" s="8"/>
      <c r="C39" s="8"/>
      <c r="D39" s="8"/>
      <c r="E39" s="8"/>
      <c r="F39" s="8"/>
      <c r="G39" s="9"/>
      <c r="H39" s="8"/>
    </row>
    <row r="40" spans="1:8" ht="18">
      <c r="A40" s="17" t="s">
        <v>15</v>
      </c>
      <c r="B40" s="17"/>
      <c r="C40" s="17">
        <f>SUM(C25:C39)</f>
        <v>365</v>
      </c>
      <c r="D40" s="17">
        <f>SUM(D25:D39)</f>
        <v>2582</v>
      </c>
      <c r="E40" s="17">
        <f>SUM(E25:E39)</f>
        <v>28020</v>
      </c>
      <c r="F40" s="17"/>
      <c r="G40" s="18"/>
      <c r="H40" s="17">
        <f>SUM(H25:H39)</f>
        <v>99259.680000000008</v>
      </c>
    </row>
    <row r="41" spans="1:8" ht="18">
      <c r="A41" s="19" t="s">
        <v>16</v>
      </c>
      <c r="B41" s="22" t="s">
        <v>23</v>
      </c>
      <c r="C41" s="23"/>
      <c r="D41" s="23"/>
      <c r="E41" s="23"/>
      <c r="F41" s="23"/>
      <c r="G41" s="23"/>
      <c r="H41" s="24"/>
    </row>
    <row r="42" spans="1:8" ht="18">
      <c r="A42" s="21"/>
      <c r="B42" s="25" t="s">
        <v>24</v>
      </c>
      <c r="C42" s="26"/>
      <c r="D42" s="26"/>
      <c r="E42" s="26"/>
      <c r="F42" s="26"/>
      <c r="G42" s="26"/>
      <c r="H42" s="27"/>
    </row>
    <row r="43" spans="1:8" ht="18">
      <c r="A43" s="20"/>
      <c r="B43" s="28" t="s">
        <v>25</v>
      </c>
      <c r="C43" s="30"/>
      <c r="D43" s="30"/>
      <c r="E43" s="30"/>
      <c r="F43" s="30"/>
      <c r="G43" s="30"/>
      <c r="H43" s="29"/>
    </row>
    <row r="44" spans="1:8">
      <c r="A44" s="1"/>
      <c r="B44" s="2"/>
      <c r="C44" s="2"/>
      <c r="D44" s="2"/>
      <c r="E44" s="2"/>
      <c r="F44" s="2"/>
      <c r="G44" s="3"/>
      <c r="H44" s="2"/>
    </row>
    <row r="45" spans="1:8" ht="28.8">
      <c r="A45" s="4" t="s">
        <v>26</v>
      </c>
      <c r="B45" s="5" t="s">
        <v>1</v>
      </c>
      <c r="C45" s="5"/>
      <c r="D45" s="5"/>
      <c r="E45" s="5"/>
      <c r="F45" s="2"/>
      <c r="G45" s="6"/>
      <c r="H45" s="7">
        <v>46150</v>
      </c>
    </row>
    <row r="46" spans="1:8" ht="18">
      <c r="A46" s="8" t="s">
        <v>2</v>
      </c>
      <c r="B46" s="8" t="s">
        <v>3</v>
      </c>
      <c r="C46" s="8" t="s">
        <v>4</v>
      </c>
      <c r="D46" s="8" t="s">
        <v>5</v>
      </c>
      <c r="E46" s="8" t="s">
        <v>6</v>
      </c>
      <c r="F46" s="8" t="s">
        <v>7</v>
      </c>
      <c r="G46" s="9" t="s">
        <v>8</v>
      </c>
      <c r="H46" s="8" t="s">
        <v>9</v>
      </c>
    </row>
    <row r="47" spans="1:8" ht="18">
      <c r="A47" s="10" t="s">
        <v>27</v>
      </c>
      <c r="B47" s="8">
        <v>201</v>
      </c>
      <c r="C47" s="8">
        <v>68</v>
      </c>
      <c r="D47" s="8">
        <v>408</v>
      </c>
      <c r="E47" s="8">
        <v>2564</v>
      </c>
      <c r="F47" s="11">
        <v>7.9</v>
      </c>
      <c r="G47" s="9"/>
      <c r="H47" s="8">
        <f>F47*E47</f>
        <v>20255.600000000002</v>
      </c>
    </row>
    <row r="48" spans="1:8" ht="18">
      <c r="A48" s="10" t="s">
        <v>27</v>
      </c>
      <c r="B48" s="8">
        <v>201</v>
      </c>
      <c r="C48" s="8">
        <v>20</v>
      </c>
      <c r="D48" s="8">
        <v>120</v>
      </c>
      <c r="E48" s="8">
        <v>757</v>
      </c>
      <c r="F48" s="8">
        <v>7.6</v>
      </c>
      <c r="G48" s="9"/>
      <c r="H48" s="8">
        <f>F48*E48</f>
        <v>5753.2</v>
      </c>
    </row>
    <row r="49" spans="1:8" ht="18">
      <c r="A49" s="10" t="s">
        <v>28</v>
      </c>
      <c r="B49" s="8">
        <v>201</v>
      </c>
      <c r="C49" s="8">
        <v>74</v>
      </c>
      <c r="D49" s="8">
        <v>370</v>
      </c>
      <c r="E49" s="8">
        <v>2372</v>
      </c>
      <c r="F49" s="8">
        <v>7.9</v>
      </c>
      <c r="G49" s="9"/>
      <c r="H49" s="8">
        <f>F49*E49</f>
        <v>18738.8</v>
      </c>
    </row>
    <row r="50" spans="1:8" ht="18">
      <c r="A50" s="10" t="s">
        <v>29</v>
      </c>
      <c r="B50" s="8" t="s">
        <v>13</v>
      </c>
      <c r="C50" s="8">
        <v>171</v>
      </c>
      <c r="D50" s="8">
        <v>1710</v>
      </c>
      <c r="E50" s="8">
        <v>6435</v>
      </c>
      <c r="F50" s="8">
        <v>10.199999999999999</v>
      </c>
      <c r="G50" s="9"/>
      <c r="H50" s="8">
        <f>F50*E50</f>
        <v>65637</v>
      </c>
    </row>
    <row r="51" spans="1:8" ht="18">
      <c r="A51" s="12" t="s">
        <v>30</v>
      </c>
      <c r="B51" s="11">
        <v>201</v>
      </c>
      <c r="C51" s="11">
        <v>168</v>
      </c>
      <c r="D51" s="11">
        <v>1680</v>
      </c>
      <c r="E51" s="11">
        <v>6600</v>
      </c>
      <c r="F51" s="8">
        <v>7.83</v>
      </c>
      <c r="G51" s="9"/>
      <c r="H51" s="8">
        <f>F51*E51</f>
        <v>51678</v>
      </c>
    </row>
    <row r="52" spans="1:8" ht="18">
      <c r="A52" s="12" t="s">
        <v>31</v>
      </c>
      <c r="B52" s="11">
        <v>201</v>
      </c>
      <c r="C52" s="11">
        <v>56</v>
      </c>
      <c r="D52" s="11">
        <v>1120</v>
      </c>
      <c r="E52" s="11">
        <v>1670</v>
      </c>
      <c r="F52" s="8">
        <v>7.9</v>
      </c>
      <c r="G52" s="9"/>
      <c r="H52" s="8">
        <f>F52*E52</f>
        <v>13193</v>
      </c>
    </row>
    <row r="53" spans="1:8" ht="18">
      <c r="A53" s="12"/>
      <c r="B53" s="11"/>
      <c r="C53" s="11"/>
      <c r="D53" s="11"/>
      <c r="E53" s="11"/>
      <c r="F53" s="8"/>
      <c r="G53" s="9"/>
      <c r="H53" s="8"/>
    </row>
    <row r="54" spans="1:8" ht="18">
      <c r="A54" s="12"/>
      <c r="B54" s="11"/>
      <c r="C54" s="11"/>
      <c r="D54" s="11"/>
      <c r="E54" s="11"/>
      <c r="F54" s="11"/>
      <c r="G54" s="13"/>
      <c r="H54" s="8"/>
    </row>
    <row r="55" spans="1:8" ht="18">
      <c r="A55" s="12"/>
      <c r="B55" s="11"/>
      <c r="C55" s="11"/>
      <c r="D55" s="11"/>
      <c r="E55" s="11"/>
      <c r="F55" s="11"/>
      <c r="G55" s="13"/>
      <c r="H55" s="8"/>
    </row>
    <row r="56" spans="1:8" ht="18">
      <c r="A56" s="12"/>
      <c r="B56" s="11"/>
      <c r="C56" s="11"/>
      <c r="D56" s="11"/>
      <c r="E56" s="11"/>
      <c r="F56" s="8"/>
      <c r="G56" s="9"/>
      <c r="H56" s="8"/>
    </row>
    <row r="57" spans="1:8" ht="18">
      <c r="A57" s="14" t="s">
        <v>32</v>
      </c>
      <c r="B57" s="15"/>
      <c r="C57" s="15"/>
      <c r="D57" s="15"/>
      <c r="E57" s="15">
        <v>7628</v>
      </c>
      <c r="F57" s="8">
        <v>0.05</v>
      </c>
      <c r="G57" s="9"/>
      <c r="H57" s="8">
        <f>F57*E57</f>
        <v>381.40000000000003</v>
      </c>
    </row>
    <row r="58" spans="1:8" ht="18">
      <c r="A58" s="14"/>
      <c r="B58" s="15"/>
      <c r="C58" s="15"/>
      <c r="D58" s="15"/>
      <c r="E58" s="15"/>
      <c r="F58" s="15"/>
      <c r="G58" s="9"/>
      <c r="H58" s="15"/>
    </row>
    <row r="59" spans="1:8" ht="18">
      <c r="A59" s="12"/>
      <c r="B59" s="11"/>
      <c r="C59" s="11"/>
      <c r="D59" s="11"/>
      <c r="E59" s="11"/>
      <c r="F59" s="8"/>
      <c r="G59" s="9"/>
      <c r="H59" s="8"/>
    </row>
    <row r="60" spans="1:8" ht="18">
      <c r="A60" s="16"/>
      <c r="B60" s="17"/>
      <c r="C60" s="17"/>
      <c r="D60" s="17"/>
      <c r="E60" s="17"/>
      <c r="F60" s="8"/>
      <c r="G60" s="9"/>
      <c r="H60" s="8"/>
    </row>
    <row r="61" spans="1:8" ht="18">
      <c r="A61" s="10"/>
      <c r="B61" s="8"/>
      <c r="C61" s="8"/>
      <c r="D61" s="8"/>
      <c r="E61" s="8"/>
      <c r="F61" s="8"/>
      <c r="G61" s="9"/>
      <c r="H61" s="8"/>
    </row>
    <row r="62" spans="1:8" ht="18">
      <c r="A62" s="17" t="s">
        <v>15</v>
      </c>
      <c r="B62" s="17"/>
      <c r="C62" s="17">
        <f>SUM(C47:C61)</f>
        <v>557</v>
      </c>
      <c r="D62" s="17">
        <f>SUM(D47:D61)</f>
        <v>5408</v>
      </c>
      <c r="E62" s="17">
        <f>SUM(E47:E61)</f>
        <v>28026</v>
      </c>
      <c r="F62" s="17"/>
      <c r="G62" s="18"/>
      <c r="H62" s="17">
        <f>SUM(H47:H61)</f>
        <v>175637</v>
      </c>
    </row>
    <row r="63" spans="1:8" ht="18">
      <c r="A63" s="19" t="s">
        <v>16</v>
      </c>
      <c r="B63" s="22" t="s">
        <v>33</v>
      </c>
      <c r="C63" s="23"/>
      <c r="D63" s="23"/>
      <c r="E63" s="23"/>
      <c r="F63" s="23"/>
      <c r="G63" s="23"/>
      <c r="H63" s="24"/>
    </row>
    <row r="64" spans="1:8" ht="18">
      <c r="A64" s="21"/>
      <c r="B64" s="25" t="s">
        <v>34</v>
      </c>
      <c r="C64" s="26"/>
      <c r="D64" s="26"/>
      <c r="E64" s="26"/>
      <c r="F64" s="26"/>
      <c r="G64" s="26"/>
      <c r="H64" s="27"/>
    </row>
    <row r="65" spans="1:8" ht="18">
      <c r="A65" s="20"/>
      <c r="B65" s="28" t="s">
        <v>35</v>
      </c>
      <c r="C65" s="30"/>
      <c r="D65" s="30"/>
      <c r="E65" s="30"/>
      <c r="F65" s="30"/>
      <c r="G65" s="30"/>
      <c r="H65" s="29"/>
    </row>
    <row r="66" spans="1:8">
      <c r="A66" s="1"/>
      <c r="B66" s="2"/>
      <c r="C66" s="2"/>
      <c r="D66" s="2"/>
      <c r="E66" s="2"/>
      <c r="F66" s="2"/>
      <c r="G66" s="3"/>
      <c r="H66" s="2"/>
    </row>
    <row r="67" spans="1:8" ht="28.8">
      <c r="A67" s="4" t="s">
        <v>36</v>
      </c>
      <c r="B67" s="5" t="s">
        <v>1</v>
      </c>
      <c r="C67" s="5"/>
      <c r="D67" s="5"/>
      <c r="E67" s="5"/>
      <c r="F67" s="2"/>
      <c r="G67" s="6"/>
      <c r="H67" s="7">
        <v>46150</v>
      </c>
    </row>
    <row r="68" spans="1:8" ht="18">
      <c r="A68" s="8" t="s">
        <v>2</v>
      </c>
      <c r="B68" s="8" t="s">
        <v>3</v>
      </c>
      <c r="C68" s="8" t="s">
        <v>4</v>
      </c>
      <c r="D68" s="8" t="s">
        <v>5</v>
      </c>
      <c r="E68" s="8" t="s">
        <v>6</v>
      </c>
      <c r="F68" s="8" t="s">
        <v>7</v>
      </c>
      <c r="G68" s="9" t="s">
        <v>8</v>
      </c>
      <c r="H68" s="8" t="s">
        <v>9</v>
      </c>
    </row>
    <row r="69" spans="1:8" ht="18">
      <c r="A69" s="10" t="s">
        <v>31</v>
      </c>
      <c r="B69" s="8">
        <v>201</v>
      </c>
      <c r="C69" s="8">
        <v>112</v>
      </c>
      <c r="D69" s="8">
        <v>2230</v>
      </c>
      <c r="E69" s="8">
        <v>3334</v>
      </c>
      <c r="F69" s="11">
        <v>7.9</v>
      </c>
      <c r="G69" s="9"/>
      <c r="H69" s="8">
        <f>F69*E69</f>
        <v>26338.600000000002</v>
      </c>
    </row>
    <row r="70" spans="1:8" ht="18">
      <c r="A70" s="10" t="s">
        <v>37</v>
      </c>
      <c r="B70" s="8">
        <v>201</v>
      </c>
      <c r="C70" s="8">
        <v>34</v>
      </c>
      <c r="D70" s="8">
        <v>200</v>
      </c>
      <c r="E70" s="8">
        <v>1121</v>
      </c>
      <c r="F70" s="8">
        <v>7.9</v>
      </c>
      <c r="G70" s="9"/>
      <c r="H70" s="8">
        <f>F70*E70</f>
        <v>8855.9</v>
      </c>
    </row>
    <row r="71" spans="1:8" ht="18">
      <c r="A71" s="10" t="s">
        <v>38</v>
      </c>
      <c r="B71" s="8">
        <v>201</v>
      </c>
      <c r="C71" s="8">
        <v>6</v>
      </c>
      <c r="D71" s="8">
        <v>21</v>
      </c>
      <c r="E71" s="8">
        <v>265</v>
      </c>
      <c r="F71" s="8">
        <v>7.9</v>
      </c>
      <c r="G71" s="9"/>
      <c r="H71" s="8">
        <f>F71*E71</f>
        <v>2093.5</v>
      </c>
    </row>
    <row r="72" spans="1:8" ht="18">
      <c r="A72" s="10" t="s">
        <v>28</v>
      </c>
      <c r="B72" s="8">
        <v>201</v>
      </c>
      <c r="C72" s="8">
        <v>94</v>
      </c>
      <c r="D72" s="8">
        <v>467</v>
      </c>
      <c r="E72" s="8">
        <v>2987</v>
      </c>
      <c r="F72" s="8">
        <v>7.83</v>
      </c>
      <c r="G72" s="9"/>
      <c r="H72" s="8">
        <f>F72*E72</f>
        <v>23388.21</v>
      </c>
    </row>
    <row r="73" spans="1:8" ht="18">
      <c r="A73" s="10" t="s">
        <v>28</v>
      </c>
      <c r="B73" s="11">
        <v>201</v>
      </c>
      <c r="C73" s="11">
        <v>100</v>
      </c>
      <c r="D73" s="11">
        <v>500</v>
      </c>
      <c r="E73" s="11">
        <v>3195</v>
      </c>
      <c r="F73" s="8">
        <v>8.1</v>
      </c>
      <c r="G73" s="9"/>
      <c r="H73" s="8">
        <f>F73*E73</f>
        <v>25879.5</v>
      </c>
    </row>
    <row r="74" spans="1:8" ht="18">
      <c r="A74" s="12" t="s">
        <v>29</v>
      </c>
      <c r="B74" s="11" t="s">
        <v>13</v>
      </c>
      <c r="C74" s="11">
        <v>87</v>
      </c>
      <c r="D74" s="11">
        <v>870</v>
      </c>
      <c r="E74" s="11">
        <v>3286</v>
      </c>
      <c r="F74" s="8">
        <v>10.199999999999999</v>
      </c>
      <c r="G74" s="9"/>
      <c r="H74" s="8">
        <f>F74*E74</f>
        <v>33517.199999999997</v>
      </c>
    </row>
    <row r="75" spans="1:8" ht="18">
      <c r="A75" s="12" t="s">
        <v>39</v>
      </c>
      <c r="B75" s="11">
        <v>201</v>
      </c>
      <c r="C75" s="11">
        <v>67</v>
      </c>
      <c r="D75" s="11">
        <v>666</v>
      </c>
      <c r="E75" s="11">
        <v>2023</v>
      </c>
      <c r="F75" s="8">
        <v>7.83</v>
      </c>
      <c r="G75" s="9"/>
      <c r="H75" s="8">
        <f>F75*E75</f>
        <v>15840.09</v>
      </c>
    </row>
    <row r="76" spans="1:8" ht="18">
      <c r="A76" s="12" t="s">
        <v>30</v>
      </c>
      <c r="B76" s="11">
        <v>201</v>
      </c>
      <c r="C76" s="11">
        <v>301</v>
      </c>
      <c r="D76" s="11">
        <v>3005</v>
      </c>
      <c r="E76" s="11">
        <v>11828</v>
      </c>
      <c r="F76" s="11">
        <v>7.83</v>
      </c>
      <c r="G76" s="13"/>
      <c r="H76" s="8">
        <f>F76*E76</f>
        <v>92613.24</v>
      </c>
    </row>
    <row r="77" spans="1:8" ht="18">
      <c r="A77" s="12"/>
      <c r="B77" s="11"/>
      <c r="C77" s="11"/>
      <c r="D77" s="11"/>
      <c r="E77" s="11"/>
      <c r="F77" s="11"/>
      <c r="G77" s="13"/>
      <c r="H77" s="8"/>
    </row>
    <row r="78" spans="1:8" ht="18">
      <c r="A78" s="12"/>
      <c r="B78" s="11"/>
      <c r="C78" s="11"/>
      <c r="D78" s="11"/>
      <c r="E78" s="11"/>
      <c r="F78" s="8"/>
      <c r="G78" s="9"/>
      <c r="H78" s="8"/>
    </row>
    <row r="79" spans="1:8" ht="18">
      <c r="A79" s="14"/>
      <c r="B79" s="15"/>
      <c r="C79" s="15"/>
      <c r="D79" s="15"/>
      <c r="E79" s="15"/>
      <c r="F79" s="8"/>
      <c r="G79" s="9"/>
      <c r="H79" s="8"/>
    </row>
    <row r="80" spans="1:8" ht="18">
      <c r="A80" s="14"/>
      <c r="B80" s="15"/>
      <c r="C80" s="15"/>
      <c r="D80" s="15"/>
      <c r="E80" s="15"/>
      <c r="F80" s="15"/>
      <c r="G80" s="9"/>
      <c r="H80" s="15"/>
    </row>
    <row r="81" spans="1:8" ht="18">
      <c r="A81" s="12"/>
      <c r="B81" s="11"/>
      <c r="C81" s="11"/>
      <c r="D81" s="11"/>
      <c r="E81" s="11"/>
      <c r="F81" s="8"/>
      <c r="G81" s="9"/>
      <c r="H81" s="8"/>
    </row>
    <row r="82" spans="1:8" ht="18">
      <c r="A82" s="16"/>
      <c r="B82" s="17"/>
      <c r="C82" s="17"/>
      <c r="D82" s="17"/>
      <c r="E82" s="17"/>
      <c r="F82" s="8"/>
      <c r="G82" s="9"/>
      <c r="H82" s="8"/>
    </row>
    <row r="83" spans="1:8" ht="18">
      <c r="A83" s="10"/>
      <c r="B83" s="8"/>
      <c r="C83" s="8"/>
      <c r="D83" s="8"/>
      <c r="E83" s="8"/>
      <c r="F83" s="8"/>
      <c r="G83" s="9"/>
      <c r="H83" s="8"/>
    </row>
    <row r="84" spans="1:8" ht="18">
      <c r="A84" s="17" t="s">
        <v>15</v>
      </c>
      <c r="B84" s="17"/>
      <c r="C84" s="17">
        <f>SUM(C69:C83)</f>
        <v>801</v>
      </c>
      <c r="D84" s="17">
        <f>SUM(D69:D83)</f>
        <v>7959</v>
      </c>
      <c r="E84" s="17">
        <f>SUM(E69:E83)</f>
        <v>28039</v>
      </c>
      <c r="F84" s="17"/>
      <c r="G84" s="18"/>
      <c r="H84" s="17">
        <f>SUM(H69:H83)</f>
        <v>228526.24</v>
      </c>
    </row>
    <row r="85" spans="1:8" ht="18">
      <c r="A85" s="19" t="s">
        <v>16</v>
      </c>
      <c r="B85" s="22" t="s">
        <v>40</v>
      </c>
      <c r="C85" s="23"/>
      <c r="D85" s="23"/>
      <c r="E85" s="23"/>
      <c r="F85" s="23"/>
      <c r="G85" s="23"/>
      <c r="H85" s="24"/>
    </row>
    <row r="86" spans="1:8" ht="18">
      <c r="A86" s="21"/>
      <c r="B86" s="25" t="s">
        <v>41</v>
      </c>
      <c r="C86" s="26"/>
      <c r="D86" s="26"/>
      <c r="E86" s="26"/>
      <c r="F86" s="26"/>
      <c r="G86" s="26"/>
      <c r="H86" s="27"/>
    </row>
    <row r="87" spans="1:8" ht="18">
      <c r="A87" s="20"/>
      <c r="B87" s="28" t="s">
        <v>42</v>
      </c>
      <c r="C87" s="30"/>
      <c r="D87" s="30"/>
      <c r="E87" s="30"/>
      <c r="F87" s="30"/>
      <c r="G87" s="30"/>
      <c r="H87" s="29"/>
    </row>
    <row r="88" spans="1:8">
      <c r="A88" s="1"/>
      <c r="B88" s="2"/>
      <c r="C88" s="2"/>
      <c r="D88" s="2"/>
      <c r="E88" s="2"/>
      <c r="F88" s="2"/>
      <c r="G88" s="3"/>
      <c r="H88" s="2"/>
    </row>
    <row r="89" spans="1:8" ht="28.8">
      <c r="A89" s="4" t="s">
        <v>43</v>
      </c>
      <c r="B89" s="5" t="s">
        <v>1</v>
      </c>
      <c r="C89" s="5"/>
      <c r="D89" s="5"/>
      <c r="E89" s="5"/>
      <c r="F89" s="2"/>
      <c r="G89" s="6"/>
      <c r="H89" s="7">
        <v>46158</v>
      </c>
    </row>
    <row r="90" spans="1:8" ht="18">
      <c r="A90" s="8" t="s">
        <v>2</v>
      </c>
      <c r="B90" s="8" t="s">
        <v>3</v>
      </c>
      <c r="C90" s="8" t="s">
        <v>4</v>
      </c>
      <c r="D90" s="8" t="s">
        <v>5</v>
      </c>
      <c r="E90" s="8" t="s">
        <v>6</v>
      </c>
      <c r="F90" s="8" t="s">
        <v>7</v>
      </c>
      <c r="G90" s="9" t="s">
        <v>8</v>
      </c>
      <c r="H90" s="8" t="s">
        <v>9</v>
      </c>
    </row>
    <row r="91" spans="1:8" ht="18">
      <c r="A91" s="10" t="s">
        <v>44</v>
      </c>
      <c r="B91" s="8">
        <v>201</v>
      </c>
      <c r="C91" s="8">
        <v>99</v>
      </c>
      <c r="D91" s="8">
        <v>1967</v>
      </c>
      <c r="E91" s="8">
        <v>3663</v>
      </c>
      <c r="F91" s="11">
        <v>8.1</v>
      </c>
      <c r="G91" s="9"/>
      <c r="H91" s="8">
        <f>F91*E91</f>
        <v>29670.3</v>
      </c>
    </row>
    <row r="92" spans="1:8" ht="18">
      <c r="A92" s="10" t="s">
        <v>45</v>
      </c>
      <c r="B92" s="8">
        <v>201</v>
      </c>
      <c r="C92" s="8">
        <v>30</v>
      </c>
      <c r="D92" s="8">
        <v>200</v>
      </c>
      <c r="E92" s="8">
        <v>616</v>
      </c>
      <c r="F92" s="8">
        <v>8.1</v>
      </c>
      <c r="G92" s="9"/>
      <c r="H92" s="8">
        <f>F92*E92</f>
        <v>4989.5999999999995</v>
      </c>
    </row>
    <row r="93" spans="1:8" ht="18">
      <c r="A93" s="10" t="s">
        <v>46</v>
      </c>
      <c r="B93" s="8">
        <v>201</v>
      </c>
      <c r="C93" s="8">
        <v>25</v>
      </c>
      <c r="D93" s="8">
        <v>198</v>
      </c>
      <c r="E93" s="8">
        <v>950</v>
      </c>
      <c r="F93" s="8">
        <v>8.1</v>
      </c>
      <c r="G93" s="9"/>
      <c r="H93" s="8">
        <f>F93*E93</f>
        <v>7695</v>
      </c>
    </row>
    <row r="94" spans="1:8" ht="18">
      <c r="A94" s="10" t="s">
        <v>47</v>
      </c>
      <c r="B94" s="8">
        <v>201</v>
      </c>
      <c r="C94" s="8">
        <v>17</v>
      </c>
      <c r="D94" s="8">
        <v>101</v>
      </c>
      <c r="E94" s="8">
        <v>615</v>
      </c>
      <c r="F94" s="8">
        <v>8.1</v>
      </c>
      <c r="G94" s="9"/>
      <c r="H94" s="8">
        <f>F94*E94</f>
        <v>4981.5</v>
      </c>
    </row>
    <row r="95" spans="1:8" ht="18">
      <c r="A95" s="10" t="s">
        <v>27</v>
      </c>
      <c r="B95" s="11">
        <v>201</v>
      </c>
      <c r="C95" s="11">
        <v>55</v>
      </c>
      <c r="D95" s="11">
        <v>330</v>
      </c>
      <c r="E95" s="11">
        <v>2080</v>
      </c>
      <c r="F95" s="8">
        <v>8.1</v>
      </c>
      <c r="G95" s="9"/>
      <c r="H95" s="8">
        <f>F95*E95</f>
        <v>16848</v>
      </c>
    </row>
    <row r="96" spans="1:8" ht="18">
      <c r="A96" s="12" t="s">
        <v>48</v>
      </c>
      <c r="B96" s="11">
        <v>201</v>
      </c>
      <c r="C96" s="11">
        <v>63</v>
      </c>
      <c r="D96" s="11">
        <v>250</v>
      </c>
      <c r="E96" s="11">
        <v>2028</v>
      </c>
      <c r="F96" s="8">
        <v>8.1</v>
      </c>
      <c r="G96" s="9"/>
      <c r="H96" s="8">
        <f>F96*E96</f>
        <v>16426.8</v>
      </c>
    </row>
    <row r="97" spans="1:8" ht="18">
      <c r="A97" s="12" t="s">
        <v>49</v>
      </c>
      <c r="B97" s="11">
        <v>201</v>
      </c>
      <c r="C97" s="11">
        <v>25</v>
      </c>
      <c r="D97" s="11">
        <v>200</v>
      </c>
      <c r="E97" s="11">
        <v>943</v>
      </c>
      <c r="F97" s="8">
        <v>8.1</v>
      </c>
      <c r="G97" s="9"/>
      <c r="H97" s="8">
        <f>F97*E97</f>
        <v>7638.2999999999993</v>
      </c>
    </row>
    <row r="98" spans="1:8" ht="18">
      <c r="A98" s="12" t="s">
        <v>50</v>
      </c>
      <c r="B98" s="11">
        <v>201</v>
      </c>
      <c r="C98" s="11">
        <v>17</v>
      </c>
      <c r="D98" s="11">
        <v>103</v>
      </c>
      <c r="E98" s="11">
        <v>609</v>
      </c>
      <c r="F98" s="11">
        <v>8.1</v>
      </c>
      <c r="G98" s="13"/>
      <c r="H98" s="8">
        <f>F98*E98</f>
        <v>4932.8999999999996</v>
      </c>
    </row>
    <row r="99" spans="1:8" ht="18">
      <c r="A99" s="12" t="s">
        <v>51</v>
      </c>
      <c r="B99" s="11"/>
      <c r="C99" s="11"/>
      <c r="D99" s="11">
        <v>16</v>
      </c>
      <c r="E99" s="11"/>
      <c r="F99" s="11">
        <v>12</v>
      </c>
      <c r="G99" s="13"/>
      <c r="H99" s="8">
        <f>F99*D99</f>
        <v>192</v>
      </c>
    </row>
    <row r="100" spans="1:8" ht="18">
      <c r="A100" s="12"/>
      <c r="B100" s="11"/>
      <c r="C100" s="11"/>
      <c r="D100" s="11"/>
      <c r="E100" s="11"/>
      <c r="F100" s="8"/>
      <c r="G100" s="9"/>
      <c r="H100" s="8"/>
    </row>
    <row r="101" spans="1:8" ht="18">
      <c r="A101" s="14" t="s">
        <v>14</v>
      </c>
      <c r="B101" s="15"/>
      <c r="C101" s="15"/>
      <c r="D101" s="15"/>
      <c r="E101" s="15">
        <v>13736</v>
      </c>
      <c r="F101" s="8"/>
      <c r="G101" s="9"/>
      <c r="H101" s="8"/>
    </row>
    <row r="102" spans="1:8" ht="18">
      <c r="A102" s="14" t="s">
        <v>52</v>
      </c>
      <c r="B102" s="15"/>
      <c r="C102" s="15"/>
      <c r="D102" s="15"/>
      <c r="E102" s="15">
        <v>5282</v>
      </c>
      <c r="F102" s="15"/>
      <c r="G102" s="9"/>
      <c r="H102" s="15"/>
    </row>
    <row r="103" spans="1:8" ht="18">
      <c r="A103" s="14" t="s">
        <v>53</v>
      </c>
      <c r="B103" s="15"/>
      <c r="C103" s="15"/>
      <c r="D103" s="15"/>
      <c r="E103" s="15">
        <v>1490</v>
      </c>
      <c r="F103" s="8"/>
      <c r="G103" s="9"/>
      <c r="H103" s="8"/>
    </row>
    <row r="104" spans="1:8" ht="18">
      <c r="A104" s="16"/>
      <c r="B104" s="17"/>
      <c r="C104" s="17"/>
      <c r="D104" s="17"/>
      <c r="E104" s="17"/>
      <c r="F104" s="8"/>
      <c r="G104" s="9"/>
      <c r="H104" s="8"/>
    </row>
    <row r="105" spans="1:8" ht="18">
      <c r="A105" s="10"/>
      <c r="B105" s="8"/>
      <c r="C105" s="8"/>
      <c r="D105" s="8"/>
      <c r="E105" s="8"/>
      <c r="F105" s="8"/>
      <c r="G105" s="9"/>
      <c r="H105" s="8"/>
    </row>
    <row r="106" spans="1:8" ht="18">
      <c r="A106" s="17" t="s">
        <v>15</v>
      </c>
      <c r="B106" s="17"/>
      <c r="C106" s="17">
        <f>SUM(C91:C105)</f>
        <v>331</v>
      </c>
      <c r="D106" s="17">
        <f>SUM(D91:D105)</f>
        <v>3365</v>
      </c>
      <c r="E106" s="17">
        <f>SUM(E91:E105)</f>
        <v>32012</v>
      </c>
      <c r="F106" s="17"/>
      <c r="G106" s="18"/>
      <c r="H106" s="17">
        <f>SUM(H91:H105)</f>
        <v>93374.399999999994</v>
      </c>
    </row>
    <row r="107" spans="1:8" ht="18">
      <c r="A107" s="19" t="s">
        <v>16</v>
      </c>
      <c r="B107" s="22" t="s">
        <v>54</v>
      </c>
      <c r="C107" s="23"/>
      <c r="D107" s="23"/>
      <c r="E107" s="23"/>
      <c r="F107" s="23"/>
      <c r="G107" s="23"/>
      <c r="H107" s="24"/>
    </row>
    <row r="108" spans="1:8" ht="18">
      <c r="A108" s="21"/>
      <c r="B108" s="25" t="s">
        <v>55</v>
      </c>
      <c r="C108" s="26"/>
      <c r="D108" s="26"/>
      <c r="E108" s="26"/>
      <c r="F108" s="26"/>
      <c r="G108" s="26"/>
      <c r="H108" s="27"/>
    </row>
    <row r="109" spans="1:8" ht="18">
      <c r="A109" s="20"/>
      <c r="B109" s="28" t="s">
        <v>56</v>
      </c>
      <c r="C109" s="30"/>
      <c r="D109" s="30"/>
      <c r="E109" s="30"/>
      <c r="F109" s="30"/>
      <c r="G109" s="30"/>
      <c r="H109" s="29"/>
    </row>
    <row r="110" spans="1:8">
      <c r="A110" s="1"/>
      <c r="B110" s="2"/>
      <c r="C110" s="2"/>
      <c r="D110" s="2"/>
      <c r="E110" s="2"/>
      <c r="F110" s="2"/>
      <c r="G110" s="3"/>
      <c r="H110" s="2"/>
    </row>
    <row r="111" spans="1:8" ht="28.8">
      <c r="A111" s="4" t="s">
        <v>57</v>
      </c>
      <c r="B111" s="5" t="s">
        <v>1</v>
      </c>
      <c r="C111" s="5"/>
      <c r="D111" s="5"/>
      <c r="E111" s="5"/>
      <c r="F111" s="2"/>
      <c r="G111" s="6"/>
      <c r="H111" s="7">
        <v>46164</v>
      </c>
    </row>
    <row r="112" spans="1:8" ht="18">
      <c r="A112" s="8" t="s">
        <v>2</v>
      </c>
      <c r="B112" s="8" t="s">
        <v>3</v>
      </c>
      <c r="C112" s="8" t="s">
        <v>4</v>
      </c>
      <c r="D112" s="8" t="s">
        <v>5</v>
      </c>
      <c r="E112" s="8" t="s">
        <v>6</v>
      </c>
      <c r="F112" s="8" t="s">
        <v>7</v>
      </c>
      <c r="G112" s="9" t="s">
        <v>8</v>
      </c>
      <c r="H112" s="8" t="s">
        <v>9</v>
      </c>
    </row>
    <row r="113" spans="1:8" ht="18">
      <c r="A113" s="10" t="s">
        <v>58</v>
      </c>
      <c r="B113" s="8">
        <v>201</v>
      </c>
      <c r="C113" s="8">
        <v>51</v>
      </c>
      <c r="D113" s="8">
        <v>3009</v>
      </c>
      <c r="E113" s="8">
        <v>2712</v>
      </c>
      <c r="F113" s="11">
        <v>10</v>
      </c>
      <c r="G113" s="9"/>
      <c r="H113" s="8">
        <f>F113*E113</f>
        <v>27120</v>
      </c>
    </row>
    <row r="114" spans="1:8" ht="18">
      <c r="A114" s="10" t="s">
        <v>59</v>
      </c>
      <c r="B114" s="8">
        <v>201</v>
      </c>
      <c r="C114" s="8">
        <v>75</v>
      </c>
      <c r="D114" s="8">
        <v>1500</v>
      </c>
      <c r="E114" s="8">
        <v>1060</v>
      </c>
      <c r="F114" s="8">
        <v>9.1</v>
      </c>
      <c r="G114" s="9"/>
      <c r="H114" s="8">
        <f>F114*E114</f>
        <v>9646</v>
      </c>
    </row>
    <row r="115" spans="1:8" ht="18">
      <c r="A115" s="10" t="s">
        <v>29</v>
      </c>
      <c r="B115" s="8">
        <v>201</v>
      </c>
      <c r="C115" s="8">
        <v>36</v>
      </c>
      <c r="D115" s="8">
        <v>360</v>
      </c>
      <c r="E115" s="8">
        <v>1357</v>
      </c>
      <c r="F115" s="8">
        <v>10.199999999999999</v>
      </c>
      <c r="G115" s="9"/>
      <c r="H115" s="8">
        <f>F115*E115</f>
        <v>13841.4</v>
      </c>
    </row>
    <row r="116" spans="1:8" ht="18">
      <c r="A116" s="10" t="s">
        <v>60</v>
      </c>
      <c r="B116" s="8">
        <v>304</v>
      </c>
      <c r="C116" s="8">
        <v>50</v>
      </c>
      <c r="D116" s="8">
        <v>50</v>
      </c>
      <c r="E116" s="8">
        <v>1395</v>
      </c>
      <c r="F116" s="8">
        <v>14.3</v>
      </c>
      <c r="G116" s="9"/>
      <c r="H116" s="8">
        <f>F116*E116</f>
        <v>19948.5</v>
      </c>
    </row>
    <row r="117" spans="1:8" ht="18">
      <c r="A117" s="10" t="s">
        <v>61</v>
      </c>
      <c r="B117" s="11">
        <v>304</v>
      </c>
      <c r="C117" s="11">
        <v>50</v>
      </c>
      <c r="D117" s="11">
        <v>50</v>
      </c>
      <c r="E117" s="11">
        <v>1540</v>
      </c>
      <c r="F117" s="8">
        <v>14.3</v>
      </c>
      <c r="G117" s="9"/>
      <c r="H117" s="8">
        <f>F117*E117</f>
        <v>22022</v>
      </c>
    </row>
    <row r="118" spans="1:8" ht="18">
      <c r="A118" s="12" t="s">
        <v>62</v>
      </c>
      <c r="B118" s="11">
        <v>201</v>
      </c>
      <c r="C118" s="11">
        <v>2</v>
      </c>
      <c r="D118" s="11"/>
      <c r="E118" s="11">
        <v>2768</v>
      </c>
      <c r="F118" s="8">
        <v>8.1</v>
      </c>
      <c r="G118" s="9"/>
      <c r="H118" s="8">
        <f>F118*E118</f>
        <v>22420.799999999999</v>
      </c>
    </row>
    <row r="119" spans="1:8" ht="18">
      <c r="A119" s="12" t="s">
        <v>63</v>
      </c>
      <c r="B119" s="11">
        <v>201</v>
      </c>
      <c r="C119" s="11">
        <v>2</v>
      </c>
      <c r="D119" s="11"/>
      <c r="E119" s="11">
        <v>1660</v>
      </c>
      <c r="F119" s="8">
        <v>8.1</v>
      </c>
      <c r="G119" s="9"/>
      <c r="H119" s="8">
        <f>F119*E119</f>
        <v>13446</v>
      </c>
    </row>
    <row r="120" spans="1:8" ht="18">
      <c r="A120" s="12" t="s">
        <v>64</v>
      </c>
      <c r="B120" s="11"/>
      <c r="C120" s="11"/>
      <c r="D120" s="11"/>
      <c r="E120" s="11"/>
      <c r="F120" s="11"/>
      <c r="G120" s="13"/>
      <c r="H120" s="8">
        <v>500</v>
      </c>
    </row>
    <row r="121" spans="1:8" ht="18">
      <c r="A121" s="12"/>
      <c r="B121" s="11"/>
      <c r="C121" s="11"/>
      <c r="D121" s="11"/>
      <c r="E121" s="11"/>
      <c r="F121" s="11"/>
      <c r="G121" s="13"/>
      <c r="H121" s="8"/>
    </row>
    <row r="122" spans="1:8" ht="18">
      <c r="A122" s="12"/>
      <c r="B122" s="11"/>
      <c r="C122" s="11"/>
      <c r="D122" s="11"/>
      <c r="E122" s="11"/>
      <c r="F122" s="8"/>
      <c r="G122" s="9"/>
      <c r="H122" s="8"/>
    </row>
    <row r="123" spans="1:8" ht="18">
      <c r="A123" s="14"/>
      <c r="B123" s="15"/>
      <c r="C123" s="15"/>
      <c r="D123" s="15"/>
      <c r="E123" s="15"/>
      <c r="F123" s="8"/>
      <c r="G123" s="9"/>
      <c r="H123" s="8"/>
    </row>
    <row r="124" spans="1:8" ht="18">
      <c r="A124" s="14"/>
      <c r="B124" s="15"/>
      <c r="C124" s="15"/>
      <c r="D124" s="15"/>
      <c r="E124" s="15"/>
      <c r="F124" s="15"/>
      <c r="G124" s="9"/>
      <c r="H124" s="15"/>
    </row>
    <row r="125" spans="1:8" ht="18">
      <c r="A125" s="14" t="s">
        <v>53</v>
      </c>
      <c r="B125" s="15"/>
      <c r="C125" s="15"/>
      <c r="D125" s="15"/>
      <c r="E125" s="15">
        <v>3653</v>
      </c>
      <c r="F125" s="8"/>
      <c r="G125" s="9"/>
      <c r="H125" s="8"/>
    </row>
    <row r="126" spans="1:8" ht="18">
      <c r="A126" s="16"/>
      <c r="B126" s="17"/>
      <c r="C126" s="17"/>
      <c r="D126" s="17"/>
      <c r="E126" s="17"/>
      <c r="F126" s="8"/>
      <c r="G126" s="9"/>
      <c r="H126" s="8"/>
    </row>
    <row r="127" spans="1:8" ht="18">
      <c r="A127" s="10"/>
      <c r="B127" s="8"/>
      <c r="C127" s="8"/>
      <c r="D127" s="8"/>
      <c r="E127" s="8"/>
      <c r="F127" s="8"/>
      <c r="G127" s="9"/>
      <c r="H127" s="8"/>
    </row>
    <row r="128" spans="1:8" ht="18">
      <c r="A128" s="17" t="s">
        <v>15</v>
      </c>
      <c r="B128" s="17"/>
      <c r="C128" s="17">
        <f>SUM(C113:C127)</f>
        <v>266</v>
      </c>
      <c r="D128" s="17">
        <f>SUM(D113:D127)</f>
        <v>4969</v>
      </c>
      <c r="E128" s="17">
        <f>SUM(E113:E127)</f>
        <v>16145</v>
      </c>
      <c r="F128" s="17"/>
      <c r="G128" s="18"/>
      <c r="H128" s="17">
        <f>SUM(H113:H127)</f>
        <v>128944.7</v>
      </c>
    </row>
    <row r="129" spans="1:8" ht="18">
      <c r="A129" s="19" t="s">
        <v>16</v>
      </c>
      <c r="B129" s="22" t="s">
        <v>65</v>
      </c>
      <c r="C129" s="23"/>
      <c r="D129" s="23"/>
      <c r="E129" s="23"/>
      <c r="F129" s="23"/>
      <c r="G129" s="23"/>
      <c r="H129" s="24"/>
    </row>
    <row r="130" spans="1:8" ht="18">
      <c r="A130" s="21"/>
      <c r="B130" s="25" t="s">
        <v>66</v>
      </c>
      <c r="C130" s="26"/>
      <c r="D130" s="26"/>
      <c r="E130" s="26"/>
      <c r="F130" s="26"/>
      <c r="G130" s="26"/>
      <c r="H130" s="27"/>
    </row>
    <row r="131" spans="1:8" ht="18">
      <c r="A131" s="20"/>
      <c r="B131" s="28" t="s">
        <v>67</v>
      </c>
      <c r="C131" s="30"/>
      <c r="D131" s="30"/>
      <c r="E131" s="30"/>
      <c r="F131" s="30"/>
      <c r="G131" s="30"/>
      <c r="H131" s="29"/>
    </row>
    <row r="132" spans="1:8">
      <c r="A132" s="1"/>
      <c r="B132" s="2"/>
      <c r="C132" s="2"/>
      <c r="D132" s="2"/>
      <c r="E132" s="2"/>
      <c r="F132" s="2"/>
      <c r="G132" s="3"/>
      <c r="H132" s="2"/>
    </row>
    <row r="133" spans="1:8" ht="28.8">
      <c r="A133" s="4" t="s">
        <v>0</v>
      </c>
      <c r="B133" s="5" t="s">
        <v>1</v>
      </c>
      <c r="C133" s="5"/>
      <c r="D133" s="5"/>
      <c r="E133" s="5"/>
      <c r="F133" s="2"/>
      <c r="G133" s="6"/>
      <c r="H133" s="7">
        <v>46167</v>
      </c>
    </row>
    <row r="134" spans="1:8" ht="18">
      <c r="A134" s="8" t="s">
        <v>2</v>
      </c>
      <c r="B134" s="8" t="s">
        <v>3</v>
      </c>
      <c r="C134" s="8" t="s">
        <v>4</v>
      </c>
      <c r="D134" s="8" t="s">
        <v>5</v>
      </c>
      <c r="E134" s="8" t="s">
        <v>6</v>
      </c>
      <c r="F134" s="8" t="s">
        <v>7</v>
      </c>
      <c r="G134" s="9" t="s">
        <v>8</v>
      </c>
      <c r="H134" s="8" t="s">
        <v>9</v>
      </c>
    </row>
    <row r="135" spans="1:8" ht="18">
      <c r="A135" s="10" t="s">
        <v>68</v>
      </c>
      <c r="B135" s="8">
        <v>201</v>
      </c>
      <c r="C135" s="8">
        <v>61</v>
      </c>
      <c r="D135" s="8">
        <v>1201</v>
      </c>
      <c r="E135" s="8">
        <v>1799</v>
      </c>
      <c r="F135" s="11">
        <v>7.9</v>
      </c>
      <c r="G135" s="9"/>
      <c r="H135" s="8">
        <f>F135*E135</f>
        <v>14212.1</v>
      </c>
    </row>
    <row r="136" spans="1:8" ht="18">
      <c r="A136" s="10" t="s">
        <v>10</v>
      </c>
      <c r="B136" s="8">
        <v>201</v>
      </c>
      <c r="C136" s="8">
        <v>181</v>
      </c>
      <c r="D136" s="8">
        <v>905</v>
      </c>
      <c r="E136" s="8">
        <v>5705</v>
      </c>
      <c r="F136" s="8">
        <v>7.83</v>
      </c>
      <c r="G136" s="9"/>
      <c r="H136" s="8">
        <f>F136*E136</f>
        <v>44670.15</v>
      </c>
    </row>
    <row r="137" spans="1:8" ht="18">
      <c r="A137" s="10" t="s">
        <v>69</v>
      </c>
      <c r="B137" s="8">
        <v>201</v>
      </c>
      <c r="C137" s="8">
        <v>42</v>
      </c>
      <c r="D137" s="8">
        <v>422</v>
      </c>
      <c r="E137" s="8">
        <v>1239</v>
      </c>
      <c r="F137" s="8">
        <v>7.9</v>
      </c>
      <c r="G137" s="9"/>
      <c r="H137" s="8">
        <f>F137*E137</f>
        <v>9788.1</v>
      </c>
    </row>
    <row r="138" spans="1:8" ht="18">
      <c r="A138" s="10" t="s">
        <v>69</v>
      </c>
      <c r="B138" s="8">
        <v>201</v>
      </c>
      <c r="C138" s="8">
        <v>40</v>
      </c>
      <c r="D138" s="8">
        <v>397</v>
      </c>
      <c r="E138" s="8">
        <v>1142</v>
      </c>
      <c r="F138" s="8">
        <v>7.83</v>
      </c>
      <c r="G138" s="9"/>
      <c r="H138" s="8">
        <f>F138*E138</f>
        <v>8941.86</v>
      </c>
    </row>
    <row r="139" spans="1:8" ht="18">
      <c r="A139" s="10" t="s">
        <v>11</v>
      </c>
      <c r="B139" s="11">
        <v>201</v>
      </c>
      <c r="C139" s="11">
        <v>86</v>
      </c>
      <c r="D139" s="11">
        <v>860</v>
      </c>
      <c r="E139" s="11">
        <v>3261</v>
      </c>
      <c r="F139" s="8">
        <v>7.83</v>
      </c>
      <c r="G139" s="9"/>
      <c r="H139" s="8">
        <f>F139*E139</f>
        <v>25533.63</v>
      </c>
    </row>
    <row r="140" spans="1:8" ht="18">
      <c r="A140" s="12"/>
      <c r="B140" s="11"/>
      <c r="C140" s="11"/>
      <c r="D140" s="11"/>
      <c r="E140" s="11"/>
      <c r="F140" s="8"/>
      <c r="G140" s="9"/>
      <c r="H140" s="8"/>
    </row>
    <row r="141" spans="1:8" ht="18">
      <c r="A141" s="12"/>
      <c r="B141" s="11"/>
      <c r="C141" s="11"/>
      <c r="D141" s="11"/>
      <c r="E141" s="11"/>
      <c r="F141" s="8"/>
      <c r="G141" s="9"/>
      <c r="H141" s="8"/>
    </row>
    <row r="142" spans="1:8" ht="18">
      <c r="A142" s="12"/>
      <c r="B142" s="11"/>
      <c r="C142" s="11"/>
      <c r="D142" s="11"/>
      <c r="E142" s="11"/>
      <c r="F142" s="11"/>
      <c r="G142" s="13"/>
      <c r="H142" s="8"/>
    </row>
    <row r="143" spans="1:8" ht="18">
      <c r="A143" s="12"/>
      <c r="B143" s="11"/>
      <c r="C143" s="11"/>
      <c r="D143" s="11"/>
      <c r="E143" s="11"/>
      <c r="F143" s="11"/>
      <c r="G143" s="13"/>
      <c r="H143" s="8"/>
    </row>
    <row r="144" spans="1:8" ht="18">
      <c r="A144" s="12"/>
      <c r="B144" s="11"/>
      <c r="C144" s="11"/>
      <c r="D144" s="11"/>
      <c r="E144" s="11"/>
      <c r="F144" s="8"/>
      <c r="G144" s="9"/>
      <c r="H144" s="8"/>
    </row>
    <row r="145" spans="1:8" ht="18">
      <c r="A145" s="14"/>
      <c r="B145" s="15"/>
      <c r="C145" s="15"/>
      <c r="D145" s="15"/>
      <c r="E145" s="15"/>
      <c r="F145" s="8"/>
      <c r="G145" s="9"/>
      <c r="H145" s="8"/>
    </row>
    <row r="146" spans="1:8" ht="18">
      <c r="A146" s="14"/>
      <c r="B146" s="15"/>
      <c r="C146" s="15"/>
      <c r="D146" s="15"/>
      <c r="E146" s="15"/>
      <c r="F146" s="15"/>
      <c r="G146" s="9"/>
      <c r="H146" s="15"/>
    </row>
    <row r="147" spans="1:8" ht="18">
      <c r="A147" s="14" t="s">
        <v>14</v>
      </c>
      <c r="B147" s="15"/>
      <c r="C147" s="15"/>
      <c r="D147" s="15"/>
      <c r="E147" s="15">
        <v>14874</v>
      </c>
      <c r="F147" s="8"/>
      <c r="G147" s="9"/>
      <c r="H147" s="8"/>
    </row>
    <row r="148" spans="1:8" ht="18">
      <c r="A148" s="16"/>
      <c r="B148" s="17"/>
      <c r="C148" s="17"/>
      <c r="D148" s="17"/>
      <c r="E148" s="17"/>
      <c r="F148" s="8"/>
      <c r="G148" s="9"/>
      <c r="H148" s="8"/>
    </row>
    <row r="149" spans="1:8" ht="18">
      <c r="A149" s="10"/>
      <c r="B149" s="8"/>
      <c r="C149" s="8"/>
      <c r="D149" s="8"/>
      <c r="E149" s="8"/>
      <c r="F149" s="8"/>
      <c r="G149" s="9"/>
      <c r="H149" s="8"/>
    </row>
    <row r="150" spans="1:8" ht="18">
      <c r="A150" s="17" t="s">
        <v>15</v>
      </c>
      <c r="B150" s="17"/>
      <c r="C150" s="17">
        <f>SUM(C135:C149)</f>
        <v>410</v>
      </c>
      <c r="D150" s="17">
        <f>SUM(D135:D149)</f>
        <v>3785</v>
      </c>
      <c r="E150" s="17">
        <f>SUM(E135:E149)</f>
        <v>28020</v>
      </c>
      <c r="F150" s="17"/>
      <c r="G150" s="18"/>
      <c r="H150" s="17">
        <f>SUM(H135:H149)</f>
        <v>103145.84000000001</v>
      </c>
    </row>
    <row r="151" spans="1:8" ht="18">
      <c r="A151" s="19" t="s">
        <v>16</v>
      </c>
      <c r="B151" s="22" t="s">
        <v>70</v>
      </c>
      <c r="C151" s="23"/>
      <c r="D151" s="23"/>
      <c r="E151" s="23"/>
      <c r="F151" s="23"/>
      <c r="G151" s="23"/>
      <c r="H151" s="24"/>
    </row>
    <row r="152" spans="1:8" ht="18">
      <c r="A152" s="21"/>
      <c r="B152" s="25" t="s">
        <v>71</v>
      </c>
      <c r="C152" s="26"/>
      <c r="D152" s="26"/>
      <c r="E152" s="26"/>
      <c r="F152" s="26"/>
      <c r="G152" s="26"/>
      <c r="H152" s="27"/>
    </row>
    <row r="153" spans="1:8" ht="18">
      <c r="A153" s="20"/>
      <c r="B153" s="28" t="s">
        <v>72</v>
      </c>
      <c r="C153" s="30"/>
      <c r="D153" s="30"/>
      <c r="E153" s="30"/>
      <c r="F153" s="30"/>
      <c r="G153" s="30"/>
      <c r="H153" s="29"/>
    </row>
    <row r="154" spans="1:8">
      <c r="A154" s="1"/>
      <c r="B154" s="2"/>
      <c r="C154" s="2"/>
      <c r="D154" s="2"/>
      <c r="E154" s="2"/>
      <c r="F154" s="2"/>
      <c r="G154" s="3"/>
      <c r="H154" s="2"/>
    </row>
    <row r="155" spans="1:8" ht="28.8">
      <c r="A155" s="4" t="s">
        <v>20</v>
      </c>
      <c r="B155" s="5" t="s">
        <v>1</v>
      </c>
      <c r="C155" s="5"/>
      <c r="D155" s="5"/>
      <c r="E155" s="5"/>
      <c r="F155" s="2"/>
      <c r="G155" s="6"/>
      <c r="H155" s="7">
        <v>46167</v>
      </c>
    </row>
    <row r="156" spans="1:8" ht="18">
      <c r="A156" s="8" t="s">
        <v>2</v>
      </c>
      <c r="B156" s="8" t="s">
        <v>3</v>
      </c>
      <c r="C156" s="8" t="s">
        <v>4</v>
      </c>
      <c r="D156" s="8" t="s">
        <v>5</v>
      </c>
      <c r="E156" s="8" t="s">
        <v>6</v>
      </c>
      <c r="F156" s="8" t="s">
        <v>7</v>
      </c>
      <c r="G156" s="9" t="s">
        <v>8</v>
      </c>
      <c r="H156" s="8" t="s">
        <v>9</v>
      </c>
    </row>
    <row r="157" spans="1:8" ht="18">
      <c r="A157" s="10" t="s">
        <v>68</v>
      </c>
      <c r="B157" s="8">
        <v>201</v>
      </c>
      <c r="C157" s="8">
        <v>107</v>
      </c>
      <c r="D157" s="8">
        <v>2140</v>
      </c>
      <c r="E157" s="8">
        <v>3173</v>
      </c>
      <c r="F157" s="11">
        <v>7.9</v>
      </c>
      <c r="G157" s="9"/>
      <c r="H157" s="8">
        <f>F157*E157</f>
        <v>25066.7</v>
      </c>
    </row>
    <row r="158" spans="1:8" ht="18">
      <c r="A158" s="10" t="s">
        <v>10</v>
      </c>
      <c r="B158" s="8">
        <v>201</v>
      </c>
      <c r="C158" s="8">
        <v>137</v>
      </c>
      <c r="D158" s="8">
        <v>685</v>
      </c>
      <c r="E158" s="8">
        <v>4283</v>
      </c>
      <c r="F158" s="8">
        <v>7.83</v>
      </c>
      <c r="G158" s="9"/>
      <c r="H158" s="8">
        <f>F158*E158</f>
        <v>33535.89</v>
      </c>
    </row>
    <row r="159" spans="1:8" ht="18">
      <c r="A159" s="10" t="s">
        <v>69</v>
      </c>
      <c r="B159" s="8">
        <v>201</v>
      </c>
      <c r="C159" s="8">
        <v>84</v>
      </c>
      <c r="D159" s="8">
        <v>840</v>
      </c>
      <c r="E159" s="8">
        <v>2460</v>
      </c>
      <c r="F159" s="8">
        <v>7.83</v>
      </c>
      <c r="G159" s="9"/>
      <c r="H159" s="8">
        <f>F159*E159</f>
        <v>19261.8</v>
      </c>
    </row>
    <row r="160" spans="1:8" ht="18">
      <c r="A160" s="10" t="s">
        <v>11</v>
      </c>
      <c r="B160" s="11">
        <v>201</v>
      </c>
      <c r="C160" s="11">
        <v>127</v>
      </c>
      <c r="D160" s="11">
        <v>1266</v>
      </c>
      <c r="E160" s="11">
        <v>4840</v>
      </c>
      <c r="F160" s="8">
        <v>7.83</v>
      </c>
      <c r="G160" s="9"/>
      <c r="H160" s="8">
        <f>F160*E160</f>
        <v>37897.199999999997</v>
      </c>
    </row>
    <row r="161" spans="1:8" ht="18">
      <c r="A161" s="12"/>
      <c r="B161" s="11"/>
      <c r="C161" s="11"/>
      <c r="D161" s="11"/>
      <c r="E161" s="11"/>
      <c r="F161" s="8"/>
      <c r="G161" s="9"/>
      <c r="H161" s="8"/>
    </row>
    <row r="162" spans="1:8" ht="18">
      <c r="A162" s="12"/>
      <c r="B162" s="11"/>
      <c r="C162" s="11"/>
      <c r="D162" s="11"/>
      <c r="E162" s="11"/>
      <c r="F162" s="8"/>
      <c r="G162" s="9"/>
      <c r="H162" s="8"/>
    </row>
    <row r="163" spans="1:8" ht="18">
      <c r="A163" s="12"/>
      <c r="B163" s="11"/>
      <c r="C163" s="11"/>
      <c r="D163" s="11"/>
      <c r="E163" s="11"/>
      <c r="F163" s="11"/>
      <c r="G163" s="13"/>
      <c r="H163" s="8"/>
    </row>
    <row r="164" spans="1:8" ht="18">
      <c r="A164" s="12"/>
      <c r="B164" s="11"/>
      <c r="C164" s="11"/>
      <c r="D164" s="11"/>
      <c r="E164" s="11"/>
      <c r="F164" s="11"/>
      <c r="G164" s="13"/>
      <c r="H164" s="8"/>
    </row>
    <row r="165" spans="1:8" ht="18">
      <c r="A165" s="12"/>
      <c r="B165" s="11"/>
      <c r="C165" s="11"/>
      <c r="D165" s="11"/>
      <c r="E165" s="11"/>
      <c r="F165" s="8"/>
      <c r="G165" s="9"/>
      <c r="H165" s="8"/>
    </row>
    <row r="166" spans="1:8" ht="18">
      <c r="A166" s="14"/>
      <c r="B166" s="15"/>
      <c r="C166" s="15"/>
      <c r="D166" s="15"/>
      <c r="E166" s="15"/>
      <c r="F166" s="8"/>
      <c r="G166" s="9"/>
      <c r="H166" s="8"/>
    </row>
    <row r="167" spans="1:8" ht="18">
      <c r="A167" s="14"/>
      <c r="B167" s="15"/>
      <c r="C167" s="15"/>
      <c r="D167" s="15"/>
      <c r="E167" s="15"/>
      <c r="F167" s="15"/>
      <c r="G167" s="9"/>
      <c r="H167" s="15"/>
    </row>
    <row r="168" spans="1:8" ht="18">
      <c r="A168" s="14" t="s">
        <v>14</v>
      </c>
      <c r="B168" s="15"/>
      <c r="C168" s="15"/>
      <c r="D168" s="15"/>
      <c r="E168" s="15">
        <v>13279</v>
      </c>
      <c r="F168" s="8"/>
      <c r="G168" s="9"/>
      <c r="H168" s="8"/>
    </row>
    <row r="169" spans="1:8" ht="18">
      <c r="A169" s="16"/>
      <c r="B169" s="17"/>
      <c r="C169" s="17"/>
      <c r="D169" s="17"/>
      <c r="E169" s="17"/>
      <c r="F169" s="8"/>
      <c r="G169" s="9"/>
      <c r="H169" s="8"/>
    </row>
    <row r="170" spans="1:8" ht="18">
      <c r="A170" s="10"/>
      <c r="B170" s="8"/>
      <c r="C170" s="8"/>
      <c r="D170" s="8"/>
      <c r="E170" s="8"/>
      <c r="F170" s="8"/>
      <c r="G170" s="9"/>
      <c r="H170" s="8"/>
    </row>
    <row r="171" spans="1:8" ht="18">
      <c r="A171" s="17" t="s">
        <v>15</v>
      </c>
      <c r="B171" s="17"/>
      <c r="C171" s="17">
        <f>SUM(C157:C170)</f>
        <v>455</v>
      </c>
      <c r="D171" s="17">
        <f>SUM(D157:D170)</f>
        <v>4931</v>
      </c>
      <c r="E171" s="17">
        <f>SUM(E157:E170)</f>
        <v>28035</v>
      </c>
      <c r="F171" s="17"/>
      <c r="G171" s="18"/>
      <c r="H171" s="17">
        <f>SUM(H157:H170)</f>
        <v>115761.59</v>
      </c>
    </row>
    <row r="172" spans="1:8" ht="18">
      <c r="A172" s="19" t="s">
        <v>16</v>
      </c>
      <c r="B172" s="22" t="s">
        <v>73</v>
      </c>
      <c r="C172" s="23"/>
      <c r="D172" s="23"/>
      <c r="E172" s="23"/>
      <c r="F172" s="23"/>
      <c r="G172" s="23"/>
      <c r="H172" s="24"/>
    </row>
    <row r="173" spans="1:8" ht="18">
      <c r="A173" s="21"/>
      <c r="B173" s="25" t="s">
        <v>74</v>
      </c>
      <c r="C173" s="26"/>
      <c r="D173" s="26"/>
      <c r="E173" s="26"/>
      <c r="F173" s="26"/>
      <c r="G173" s="26"/>
      <c r="H173" s="27"/>
    </row>
    <row r="174" spans="1:8" ht="18">
      <c r="A174" s="20"/>
      <c r="B174" s="28" t="s">
        <v>75</v>
      </c>
      <c r="C174" s="30"/>
      <c r="D174" s="30"/>
      <c r="E174" s="30"/>
      <c r="F174" s="30"/>
      <c r="G174" s="30"/>
      <c r="H174" s="29"/>
    </row>
    <row r="175" spans="1:8">
      <c r="A175" s="1"/>
      <c r="B175" s="2"/>
      <c r="C175" s="2"/>
      <c r="D175" s="2"/>
      <c r="E175" s="2"/>
      <c r="F175" s="2"/>
      <c r="G175" s="3"/>
      <c r="H175" s="2"/>
    </row>
    <row r="176" spans="1:8" ht="28.8">
      <c r="A176" s="4" t="s">
        <v>76</v>
      </c>
      <c r="B176" s="5" t="s">
        <v>1</v>
      </c>
      <c r="C176" s="5"/>
      <c r="D176" s="5"/>
      <c r="E176" s="5"/>
      <c r="F176" s="2"/>
      <c r="G176" s="6"/>
      <c r="H176" s="7">
        <v>46167</v>
      </c>
    </row>
    <row r="177" spans="1:8" ht="18">
      <c r="A177" s="8" t="s">
        <v>2</v>
      </c>
      <c r="B177" s="8" t="s">
        <v>3</v>
      </c>
      <c r="C177" s="8" t="s">
        <v>4</v>
      </c>
      <c r="D177" s="8" t="s">
        <v>5</v>
      </c>
      <c r="E177" s="8" t="s">
        <v>6</v>
      </c>
      <c r="F177" s="8" t="s">
        <v>7</v>
      </c>
      <c r="G177" s="9" t="s">
        <v>8</v>
      </c>
      <c r="H177" s="8" t="s">
        <v>9</v>
      </c>
    </row>
    <row r="178" spans="1:8" ht="18">
      <c r="A178" s="10" t="s">
        <v>68</v>
      </c>
      <c r="B178" s="8">
        <v>201</v>
      </c>
      <c r="C178" s="8">
        <v>73</v>
      </c>
      <c r="D178" s="8">
        <v>1460</v>
      </c>
      <c r="E178" s="8">
        <v>2169</v>
      </c>
      <c r="F178" s="11">
        <v>7.9</v>
      </c>
      <c r="G178" s="9"/>
      <c r="H178" s="8">
        <f>F178*E178</f>
        <v>17135.100000000002</v>
      </c>
    </row>
    <row r="179" spans="1:8" ht="18">
      <c r="A179" s="10" t="s">
        <v>10</v>
      </c>
      <c r="B179" s="8">
        <v>201</v>
      </c>
      <c r="C179" s="8">
        <v>167</v>
      </c>
      <c r="D179" s="8">
        <v>833</v>
      </c>
      <c r="E179" s="8">
        <v>5210</v>
      </c>
      <c r="F179" s="8">
        <v>7.83</v>
      </c>
      <c r="G179" s="9"/>
      <c r="H179" s="8">
        <f>F179*E179</f>
        <v>40794.300000000003</v>
      </c>
    </row>
    <row r="180" spans="1:8" ht="18">
      <c r="A180" s="10" t="s">
        <v>69</v>
      </c>
      <c r="B180" s="8">
        <v>201</v>
      </c>
      <c r="C180" s="8">
        <v>84</v>
      </c>
      <c r="D180" s="8">
        <v>840</v>
      </c>
      <c r="E180" s="8">
        <v>2464</v>
      </c>
      <c r="F180" s="8">
        <v>8.1</v>
      </c>
      <c r="G180" s="9"/>
      <c r="H180" s="8">
        <f>F180*E180</f>
        <v>19958.399999999998</v>
      </c>
    </row>
    <row r="181" spans="1:8" ht="18">
      <c r="A181" s="10" t="s">
        <v>11</v>
      </c>
      <c r="B181" s="11">
        <v>201</v>
      </c>
      <c r="C181" s="11">
        <v>105</v>
      </c>
      <c r="D181" s="11">
        <v>1266</v>
      </c>
      <c r="E181" s="11">
        <v>4023</v>
      </c>
      <c r="F181" s="8">
        <v>7.83</v>
      </c>
      <c r="G181" s="9"/>
      <c r="H181" s="8">
        <f>F181*E181</f>
        <v>31500.09</v>
      </c>
    </row>
    <row r="182" spans="1:8" ht="18">
      <c r="A182" s="12"/>
      <c r="B182" s="11"/>
      <c r="C182" s="11"/>
      <c r="D182" s="11"/>
      <c r="E182" s="11"/>
      <c r="F182" s="8"/>
      <c r="G182" s="9"/>
      <c r="H182" s="8"/>
    </row>
    <row r="183" spans="1:8" ht="18">
      <c r="A183" s="12"/>
      <c r="B183" s="11"/>
      <c r="C183" s="11"/>
      <c r="D183" s="11"/>
      <c r="E183" s="11"/>
      <c r="F183" s="8"/>
      <c r="G183" s="9"/>
      <c r="H183" s="8"/>
    </row>
    <row r="184" spans="1:8" ht="18">
      <c r="A184" s="12"/>
      <c r="B184" s="11"/>
      <c r="C184" s="11"/>
      <c r="D184" s="11"/>
      <c r="E184" s="11"/>
      <c r="F184" s="11"/>
      <c r="G184" s="13"/>
      <c r="H184" s="8"/>
    </row>
    <row r="185" spans="1:8" ht="18">
      <c r="A185" s="12"/>
      <c r="B185" s="11"/>
      <c r="C185" s="11"/>
      <c r="D185" s="11"/>
      <c r="E185" s="11"/>
      <c r="F185" s="11"/>
      <c r="G185" s="13"/>
      <c r="H185" s="8"/>
    </row>
    <row r="186" spans="1:8" ht="18">
      <c r="A186" s="12"/>
      <c r="B186" s="11"/>
      <c r="C186" s="11"/>
      <c r="D186" s="11"/>
      <c r="E186" s="11"/>
      <c r="F186" s="8"/>
      <c r="G186" s="9"/>
      <c r="H186" s="8"/>
    </row>
    <row r="187" spans="1:8" ht="18">
      <c r="A187" s="14"/>
      <c r="B187" s="15"/>
      <c r="C187" s="15"/>
      <c r="D187" s="15"/>
      <c r="E187" s="15"/>
      <c r="F187" s="8"/>
      <c r="G187" s="9"/>
      <c r="H187" s="8"/>
    </row>
    <row r="188" spans="1:8" ht="18">
      <c r="A188" s="14"/>
      <c r="B188" s="15"/>
      <c r="C188" s="15"/>
      <c r="D188" s="15"/>
      <c r="E188" s="15"/>
      <c r="F188" s="15"/>
      <c r="G188" s="9"/>
      <c r="H188" s="15"/>
    </row>
    <row r="189" spans="1:8" ht="18">
      <c r="A189" s="14" t="s">
        <v>14</v>
      </c>
      <c r="B189" s="15"/>
      <c r="C189" s="15"/>
      <c r="D189" s="15"/>
      <c r="E189" s="15">
        <v>14148</v>
      </c>
      <c r="F189" s="8"/>
      <c r="G189" s="9"/>
      <c r="H189" s="8"/>
    </row>
    <row r="190" spans="1:8" ht="18">
      <c r="A190" s="16"/>
      <c r="B190" s="17"/>
      <c r="C190" s="17"/>
      <c r="D190" s="17"/>
      <c r="E190" s="17"/>
      <c r="F190" s="8"/>
      <c r="G190" s="9"/>
      <c r="H190" s="8"/>
    </row>
    <row r="191" spans="1:8" ht="18">
      <c r="A191" s="10"/>
      <c r="B191" s="8"/>
      <c r="C191" s="8"/>
      <c r="D191" s="8"/>
      <c r="E191" s="8"/>
      <c r="F191" s="8"/>
      <c r="G191" s="9"/>
      <c r="H191" s="8"/>
    </row>
    <row r="192" spans="1:8" ht="18">
      <c r="A192" s="17" t="s">
        <v>15</v>
      </c>
      <c r="B192" s="17"/>
      <c r="C192" s="17">
        <f>SUM(C178:C191)</f>
        <v>429</v>
      </c>
      <c r="D192" s="17">
        <f>SUM(D178:D191)</f>
        <v>4399</v>
      </c>
      <c r="E192" s="17">
        <f>SUM(E178:E191)</f>
        <v>28014</v>
      </c>
      <c r="F192" s="17"/>
      <c r="G192" s="18"/>
      <c r="H192" s="17">
        <f>SUM(H178:H191)</f>
        <v>109387.89</v>
      </c>
    </row>
    <row r="193" spans="1:8" ht="18">
      <c r="A193" s="19" t="s">
        <v>16</v>
      </c>
      <c r="B193" s="22" t="s">
        <v>77</v>
      </c>
      <c r="C193" s="23"/>
      <c r="D193" s="23"/>
      <c r="E193" s="23"/>
      <c r="F193" s="23"/>
      <c r="G193" s="23"/>
      <c r="H193" s="24"/>
    </row>
    <row r="194" spans="1:8" ht="18">
      <c r="A194" s="21"/>
      <c r="B194" s="25" t="s">
        <v>78</v>
      </c>
      <c r="C194" s="26"/>
      <c r="D194" s="26"/>
      <c r="E194" s="26"/>
      <c r="F194" s="26"/>
      <c r="G194" s="26"/>
      <c r="H194" s="27"/>
    </row>
    <row r="195" spans="1:8" ht="18">
      <c r="A195" s="20"/>
      <c r="B195" s="28" t="s">
        <v>79</v>
      </c>
      <c r="C195" s="30"/>
      <c r="D195" s="30"/>
      <c r="E195" s="30"/>
      <c r="F195" s="30"/>
      <c r="G195" s="30"/>
      <c r="H195" s="29"/>
    </row>
    <row r="196" spans="1:8">
      <c r="A196" s="1"/>
      <c r="B196" s="2"/>
      <c r="C196" s="2"/>
      <c r="D196" s="2"/>
      <c r="E196" s="2"/>
      <c r="F196" s="2"/>
      <c r="G196" s="3"/>
      <c r="H196" s="2"/>
    </row>
    <row r="197" spans="1:8" ht="28.8">
      <c r="A197" s="4" t="s">
        <v>80</v>
      </c>
      <c r="B197" s="5" t="s">
        <v>1</v>
      </c>
      <c r="C197" s="5"/>
      <c r="D197" s="5"/>
      <c r="E197" s="5"/>
      <c r="F197" s="2"/>
      <c r="G197" s="6"/>
      <c r="H197" s="7">
        <v>46167</v>
      </c>
    </row>
    <row r="198" spans="1:8" ht="18">
      <c r="A198" s="8" t="s">
        <v>2</v>
      </c>
      <c r="B198" s="8" t="s">
        <v>3</v>
      </c>
      <c r="C198" s="8" t="s">
        <v>4</v>
      </c>
      <c r="D198" s="8" t="s">
        <v>5</v>
      </c>
      <c r="E198" s="8" t="s">
        <v>6</v>
      </c>
      <c r="F198" s="8" t="s">
        <v>7</v>
      </c>
      <c r="G198" s="9" t="s">
        <v>8</v>
      </c>
      <c r="H198" s="8" t="s">
        <v>9</v>
      </c>
    </row>
    <row r="199" spans="1:8" ht="18">
      <c r="A199" s="10" t="s">
        <v>68</v>
      </c>
      <c r="B199" s="8">
        <v>201</v>
      </c>
      <c r="C199" s="8">
        <v>66</v>
      </c>
      <c r="D199" s="8">
        <v>1320</v>
      </c>
      <c r="E199" s="8">
        <v>1924</v>
      </c>
      <c r="F199" s="11">
        <v>7.9</v>
      </c>
      <c r="G199" s="9"/>
      <c r="H199" s="8">
        <f>F199*E199</f>
        <v>15199.6</v>
      </c>
    </row>
    <row r="200" spans="1:8" ht="18">
      <c r="A200" s="10" t="s">
        <v>10</v>
      </c>
      <c r="B200" s="8">
        <v>201</v>
      </c>
      <c r="C200" s="8">
        <v>159</v>
      </c>
      <c r="D200" s="8">
        <v>795</v>
      </c>
      <c r="E200" s="8">
        <v>4974</v>
      </c>
      <c r="F200" s="8">
        <v>7.83</v>
      </c>
      <c r="G200" s="9"/>
      <c r="H200" s="8">
        <f>F200*E200</f>
        <v>38946.42</v>
      </c>
    </row>
    <row r="201" spans="1:8" ht="18">
      <c r="A201" s="10" t="s">
        <v>69</v>
      </c>
      <c r="B201" s="8">
        <v>201</v>
      </c>
      <c r="C201" s="8">
        <v>87</v>
      </c>
      <c r="D201" s="8">
        <v>862</v>
      </c>
      <c r="E201" s="8">
        <v>2531</v>
      </c>
      <c r="F201" s="8">
        <v>7.83</v>
      </c>
      <c r="G201" s="9"/>
      <c r="H201" s="8">
        <f>F201*E201</f>
        <v>19817.73</v>
      </c>
    </row>
    <row r="202" spans="1:8" ht="18">
      <c r="A202" s="10" t="s">
        <v>11</v>
      </c>
      <c r="B202" s="11">
        <v>201</v>
      </c>
      <c r="C202" s="11">
        <v>84</v>
      </c>
      <c r="D202" s="11">
        <v>840</v>
      </c>
      <c r="E202" s="11">
        <v>3216</v>
      </c>
      <c r="F202" s="8">
        <v>7.83</v>
      </c>
      <c r="G202" s="9"/>
      <c r="H202" s="8">
        <f>F202*E202</f>
        <v>25181.279999999999</v>
      </c>
    </row>
    <row r="203" spans="1:8" ht="18">
      <c r="A203" s="12" t="s">
        <v>81</v>
      </c>
      <c r="B203" s="11">
        <v>201</v>
      </c>
      <c r="C203" s="11">
        <v>25</v>
      </c>
      <c r="D203" s="11">
        <v>248</v>
      </c>
      <c r="E203" s="11">
        <v>1276</v>
      </c>
      <c r="F203" s="8">
        <v>7.9</v>
      </c>
      <c r="G203" s="9"/>
      <c r="H203" s="8">
        <f>F203*E203</f>
        <v>10080.4</v>
      </c>
    </row>
    <row r="204" spans="1:8" ht="18">
      <c r="A204" s="12"/>
      <c r="B204" s="11"/>
      <c r="C204" s="11"/>
      <c r="D204" s="11"/>
      <c r="E204" s="11"/>
      <c r="F204" s="8"/>
      <c r="G204" s="9"/>
      <c r="H204" s="8"/>
    </row>
    <row r="205" spans="1:8" ht="18">
      <c r="A205" s="12"/>
      <c r="B205" s="11"/>
      <c r="C205" s="11"/>
      <c r="D205" s="11"/>
      <c r="E205" s="11"/>
      <c r="F205" s="11"/>
      <c r="G205" s="13"/>
      <c r="H205" s="8"/>
    </row>
    <row r="206" spans="1:8" ht="18">
      <c r="A206" s="12"/>
      <c r="B206" s="11"/>
      <c r="C206" s="11"/>
      <c r="D206" s="11"/>
      <c r="E206" s="11"/>
      <c r="F206" s="11"/>
      <c r="G206" s="13"/>
      <c r="H206" s="8"/>
    </row>
    <row r="207" spans="1:8" ht="18">
      <c r="A207" s="12"/>
      <c r="B207" s="11"/>
      <c r="C207" s="11"/>
      <c r="D207" s="11"/>
      <c r="E207" s="11"/>
      <c r="F207" s="8"/>
      <c r="G207" s="9"/>
      <c r="H207" s="8"/>
    </row>
    <row r="208" spans="1:8" ht="18">
      <c r="A208" s="14"/>
      <c r="B208" s="15"/>
      <c r="C208" s="15"/>
      <c r="D208" s="15"/>
      <c r="E208" s="15"/>
      <c r="F208" s="8"/>
      <c r="G208" s="9"/>
      <c r="H208" s="8"/>
    </row>
    <row r="209" spans="1:8" ht="18">
      <c r="A209" s="14"/>
      <c r="B209" s="15"/>
      <c r="C209" s="15"/>
      <c r="D209" s="15"/>
      <c r="E209" s="15"/>
      <c r="F209" s="15"/>
      <c r="G209" s="9"/>
      <c r="H209" s="15"/>
    </row>
    <row r="210" spans="1:8" ht="18">
      <c r="A210" s="14" t="s">
        <v>14</v>
      </c>
      <c r="B210" s="15"/>
      <c r="C210" s="15"/>
      <c r="D210" s="15"/>
      <c r="E210" s="15">
        <v>14103</v>
      </c>
      <c r="F210" s="8"/>
      <c r="G210" s="9"/>
      <c r="H210" s="8"/>
    </row>
    <row r="211" spans="1:8" ht="18">
      <c r="A211" s="16"/>
      <c r="B211" s="17"/>
      <c r="C211" s="17"/>
      <c r="D211" s="17"/>
      <c r="E211" s="17"/>
      <c r="F211" s="8"/>
      <c r="G211" s="9"/>
      <c r="H211" s="8"/>
    </row>
    <row r="212" spans="1:8" ht="18">
      <c r="A212" s="10"/>
      <c r="B212" s="8"/>
      <c r="C212" s="8"/>
      <c r="D212" s="8"/>
      <c r="E212" s="8"/>
      <c r="F212" s="8"/>
      <c r="G212" s="9"/>
      <c r="H212" s="8"/>
    </row>
    <row r="213" spans="1:8" ht="18">
      <c r="A213" s="17" t="s">
        <v>15</v>
      </c>
      <c r="B213" s="17"/>
      <c r="C213" s="17">
        <f>SUM(C199:C212)</f>
        <v>421</v>
      </c>
      <c r="D213" s="17">
        <f>SUM(D199:D212)</f>
        <v>4065</v>
      </c>
      <c r="E213" s="17">
        <f>SUM(E199:E212)</f>
        <v>28024</v>
      </c>
      <c r="F213" s="17"/>
      <c r="G213" s="18"/>
      <c r="H213" s="17">
        <f>SUM(H199:H212)</f>
        <v>109225.43</v>
      </c>
    </row>
    <row r="214" spans="1:8" ht="18">
      <c r="A214" s="19" t="s">
        <v>16</v>
      </c>
      <c r="B214" s="22" t="s">
        <v>82</v>
      </c>
      <c r="C214" s="23"/>
      <c r="D214" s="23"/>
      <c r="E214" s="23"/>
      <c r="F214" s="23"/>
      <c r="G214" s="23"/>
      <c r="H214" s="24"/>
    </row>
    <row r="215" spans="1:8" ht="18">
      <c r="A215" s="21"/>
      <c r="B215" s="25" t="s">
        <v>83</v>
      </c>
      <c r="C215" s="26"/>
      <c r="D215" s="26"/>
      <c r="E215" s="26"/>
      <c r="F215" s="26"/>
      <c r="G215" s="26"/>
      <c r="H215" s="27"/>
    </row>
    <row r="216" spans="1:8" ht="18">
      <c r="A216" s="20"/>
      <c r="B216" s="28" t="s">
        <v>84</v>
      </c>
      <c r="C216" s="30"/>
      <c r="D216" s="30"/>
      <c r="E216" s="30"/>
      <c r="F216" s="30"/>
      <c r="G216" s="30"/>
      <c r="H216" s="29"/>
    </row>
    <row r="217" spans="1:8">
      <c r="A217" s="1"/>
      <c r="B217" s="2"/>
      <c r="C217" s="2"/>
      <c r="D217" s="2"/>
      <c r="E217" s="2"/>
      <c r="F217" s="2"/>
      <c r="G217" s="3"/>
      <c r="H217" s="2"/>
    </row>
    <row r="218" spans="1:8" ht="28.8">
      <c r="A218" s="4" t="s">
        <v>26</v>
      </c>
      <c r="B218" s="5" t="s">
        <v>1</v>
      </c>
      <c r="C218" s="5"/>
      <c r="D218" s="5"/>
      <c r="E218" s="5"/>
      <c r="F218" s="2"/>
      <c r="G218" s="6"/>
      <c r="H218" s="7">
        <v>46170</v>
      </c>
    </row>
    <row r="219" spans="1:8" ht="18">
      <c r="A219" s="8" t="s">
        <v>2</v>
      </c>
      <c r="B219" s="8" t="s">
        <v>3</v>
      </c>
      <c r="C219" s="8" t="s">
        <v>4</v>
      </c>
      <c r="D219" s="8" t="s">
        <v>5</v>
      </c>
      <c r="E219" s="8" t="s">
        <v>6</v>
      </c>
      <c r="F219" s="8" t="s">
        <v>7</v>
      </c>
      <c r="G219" s="9" t="s">
        <v>8</v>
      </c>
      <c r="H219" s="8" t="s">
        <v>9</v>
      </c>
    </row>
    <row r="220" spans="1:8" ht="18">
      <c r="A220" s="10" t="s">
        <v>31</v>
      </c>
      <c r="B220" s="8">
        <v>201</v>
      </c>
      <c r="C220" s="8">
        <v>67</v>
      </c>
      <c r="D220" s="8">
        <v>1340</v>
      </c>
      <c r="E220" s="8">
        <v>2012</v>
      </c>
      <c r="F220" s="11">
        <v>8.1</v>
      </c>
      <c r="G220" s="9"/>
      <c r="H220" s="8">
        <f>F220*E220</f>
        <v>16297.199999999999</v>
      </c>
    </row>
    <row r="221" spans="1:8" ht="18">
      <c r="A221" s="10" t="s">
        <v>28</v>
      </c>
      <c r="B221" s="8">
        <v>201</v>
      </c>
      <c r="C221" s="8">
        <v>304</v>
      </c>
      <c r="D221" s="8">
        <v>1519</v>
      </c>
      <c r="E221" s="8">
        <v>9791</v>
      </c>
      <c r="F221" s="8">
        <v>8.1</v>
      </c>
      <c r="G221" s="9"/>
      <c r="H221" s="8">
        <f>F221*E221</f>
        <v>79307.099999999991</v>
      </c>
    </row>
    <row r="222" spans="1:8" ht="18">
      <c r="A222" s="10" t="s">
        <v>39</v>
      </c>
      <c r="B222" s="8">
        <v>201</v>
      </c>
      <c r="C222" s="8">
        <v>28</v>
      </c>
      <c r="D222" s="8">
        <v>280</v>
      </c>
      <c r="E222" s="8">
        <v>1120</v>
      </c>
      <c r="F222" s="8">
        <v>7.83</v>
      </c>
      <c r="G222" s="9"/>
      <c r="H222" s="8">
        <f>F222*E222</f>
        <v>8769.6</v>
      </c>
    </row>
    <row r="223" spans="1:8" ht="18">
      <c r="A223" s="10" t="s">
        <v>30</v>
      </c>
      <c r="B223" s="11">
        <v>201</v>
      </c>
      <c r="C223" s="11">
        <v>190</v>
      </c>
      <c r="D223" s="11">
        <v>1899</v>
      </c>
      <c r="E223" s="11">
        <v>7426</v>
      </c>
      <c r="F223" s="8">
        <v>8.1</v>
      </c>
      <c r="G223" s="9"/>
      <c r="H223" s="8">
        <f>F223*E223</f>
        <v>60150.6</v>
      </c>
    </row>
    <row r="224" spans="1:8" ht="18">
      <c r="A224" s="12" t="s">
        <v>85</v>
      </c>
      <c r="B224" s="11">
        <v>304</v>
      </c>
      <c r="C224" s="11">
        <v>5</v>
      </c>
      <c r="D224" s="11">
        <v>50</v>
      </c>
      <c r="E224" s="11">
        <v>327</v>
      </c>
      <c r="F224" s="8">
        <v>14.3</v>
      </c>
      <c r="G224" s="9"/>
      <c r="H224" s="8">
        <f>F224*E224</f>
        <v>4676.1000000000004</v>
      </c>
    </row>
    <row r="225" spans="1:8" ht="18">
      <c r="A225" s="12" t="s">
        <v>86</v>
      </c>
      <c r="B225" s="11">
        <v>304</v>
      </c>
      <c r="C225" s="11">
        <v>6</v>
      </c>
      <c r="D225" s="11">
        <v>30</v>
      </c>
      <c r="E225" s="11">
        <v>254</v>
      </c>
      <c r="F225" s="8">
        <v>14.3</v>
      </c>
      <c r="G225" s="9"/>
      <c r="H225" s="8">
        <f>F225*E225</f>
        <v>3632.2000000000003</v>
      </c>
    </row>
    <row r="226" spans="1:8" ht="18">
      <c r="A226" s="12" t="s">
        <v>87</v>
      </c>
      <c r="B226" s="11">
        <v>304</v>
      </c>
      <c r="C226" s="11">
        <v>15</v>
      </c>
      <c r="D226" s="11">
        <v>30</v>
      </c>
      <c r="E226" s="11">
        <v>410</v>
      </c>
      <c r="F226" s="11">
        <v>14.3</v>
      </c>
      <c r="G226" s="13"/>
      <c r="H226" s="8">
        <f>F226*E226</f>
        <v>5863</v>
      </c>
    </row>
    <row r="227" spans="1:8" ht="18">
      <c r="A227" s="12" t="s">
        <v>31</v>
      </c>
      <c r="B227" s="11">
        <v>304</v>
      </c>
      <c r="C227" s="11">
        <v>50</v>
      </c>
      <c r="D227" s="11">
        <v>989</v>
      </c>
      <c r="E227" s="11">
        <v>1523</v>
      </c>
      <c r="F227" s="11">
        <v>14.3</v>
      </c>
      <c r="G227" s="13"/>
      <c r="H227" s="8">
        <f>F227*E227</f>
        <v>21778.9</v>
      </c>
    </row>
    <row r="228" spans="1:8" ht="18">
      <c r="A228" s="12" t="s">
        <v>28</v>
      </c>
      <c r="B228" s="11">
        <v>304</v>
      </c>
      <c r="C228" s="11">
        <v>61</v>
      </c>
      <c r="D228" s="11">
        <v>304</v>
      </c>
      <c r="E228" s="11">
        <v>1995</v>
      </c>
      <c r="F228" s="8">
        <v>14.3</v>
      </c>
      <c r="G228" s="9"/>
      <c r="H228" s="8">
        <f>F228*E228</f>
        <v>28528.5</v>
      </c>
    </row>
    <row r="229" spans="1:8" ht="18">
      <c r="A229" s="12" t="s">
        <v>30</v>
      </c>
      <c r="B229" s="11">
        <v>304</v>
      </c>
      <c r="C229" s="11">
        <v>80</v>
      </c>
      <c r="D229" s="11">
        <v>800</v>
      </c>
      <c r="E229" s="11">
        <v>3204</v>
      </c>
      <c r="F229" s="11">
        <v>14.3</v>
      </c>
      <c r="G229" s="13"/>
      <c r="H229" s="11">
        <f>F229*E229</f>
        <v>45817.200000000004</v>
      </c>
    </row>
    <row r="230" spans="1:8" ht="18">
      <c r="A230" s="14"/>
      <c r="B230" s="15"/>
      <c r="C230" s="15"/>
      <c r="D230" s="15"/>
      <c r="E230" s="15"/>
      <c r="F230" s="15"/>
      <c r="G230" s="9"/>
      <c r="H230" s="8"/>
    </row>
    <row r="231" spans="1:8" ht="18">
      <c r="A231" s="14"/>
      <c r="B231" s="15"/>
      <c r="C231" s="15"/>
      <c r="D231" s="15"/>
      <c r="E231" s="15"/>
      <c r="F231" s="8"/>
      <c r="G231" s="9"/>
      <c r="H231" s="8"/>
    </row>
    <row r="232" spans="1:8" ht="18">
      <c r="A232" s="16"/>
      <c r="B232" s="17"/>
      <c r="C232" s="17"/>
      <c r="D232" s="17"/>
      <c r="E232" s="17"/>
      <c r="F232" s="8"/>
      <c r="G232" s="9"/>
      <c r="H232" s="8"/>
    </row>
    <row r="233" spans="1:8" ht="18">
      <c r="A233" s="10"/>
      <c r="B233" s="8"/>
      <c r="C233" s="8"/>
      <c r="D233" s="8"/>
      <c r="E233" s="8"/>
      <c r="F233" s="8"/>
      <c r="G233" s="9"/>
      <c r="H233" s="8"/>
    </row>
    <row r="234" spans="1:8" ht="18">
      <c r="A234" s="17" t="s">
        <v>15</v>
      </c>
      <c r="B234" s="17"/>
      <c r="C234" s="17">
        <f>SUM(C220:C233)</f>
        <v>806</v>
      </c>
      <c r="D234" s="17">
        <f>SUM(D220:D233)</f>
        <v>7241</v>
      </c>
      <c r="E234" s="17">
        <f>SUM(E220:E233)</f>
        <v>28062</v>
      </c>
      <c r="F234" s="17"/>
      <c r="G234" s="18"/>
      <c r="H234" s="17">
        <f>SUM(H220:H233)</f>
        <v>274820.40000000002</v>
      </c>
    </row>
    <row r="235" spans="1:8" ht="18">
      <c r="A235" s="19" t="s">
        <v>16</v>
      </c>
      <c r="B235" s="22" t="s">
        <v>88</v>
      </c>
      <c r="C235" s="23"/>
      <c r="D235" s="23"/>
      <c r="E235" s="23"/>
      <c r="F235" s="23"/>
      <c r="G235" s="23"/>
      <c r="H235" s="24"/>
    </row>
    <row r="236" spans="1:8" ht="18">
      <c r="A236" s="21"/>
      <c r="B236" s="25" t="s">
        <v>89</v>
      </c>
      <c r="C236" s="26"/>
      <c r="D236" s="26"/>
      <c r="E236" s="26"/>
      <c r="F236" s="26"/>
      <c r="G236" s="26"/>
      <c r="H236" s="27"/>
    </row>
    <row r="237" spans="1:8" ht="18">
      <c r="A237" s="20"/>
      <c r="B237" s="28" t="s">
        <v>90</v>
      </c>
      <c r="C237" s="30"/>
      <c r="D237" s="30"/>
      <c r="E237" s="30"/>
      <c r="F237" s="30"/>
      <c r="G237" s="30"/>
      <c r="H237" s="29"/>
    </row>
    <row r="238" spans="1:8">
      <c r="A238" s="1"/>
      <c r="B238" s="2"/>
      <c r="C238" s="2"/>
      <c r="D238" s="2"/>
      <c r="E238" s="2"/>
      <c r="F238" s="2"/>
      <c r="G238" s="3"/>
      <c r="H238" s="2"/>
    </row>
    <row r="239" spans="1:8" ht="28.8">
      <c r="A239" s="4" t="s">
        <v>36</v>
      </c>
      <c r="B239" s="5" t="s">
        <v>1</v>
      </c>
      <c r="C239" s="5"/>
      <c r="D239" s="5"/>
      <c r="E239" s="5"/>
      <c r="F239" s="2"/>
      <c r="G239" s="6"/>
      <c r="H239" s="7">
        <v>46170</v>
      </c>
    </row>
    <row r="240" spans="1:8" ht="18">
      <c r="A240" s="8" t="s">
        <v>2</v>
      </c>
      <c r="B240" s="8" t="s">
        <v>3</v>
      </c>
      <c r="C240" s="8" t="s">
        <v>4</v>
      </c>
      <c r="D240" s="8" t="s">
        <v>5</v>
      </c>
      <c r="E240" s="8" t="s">
        <v>6</v>
      </c>
      <c r="F240" s="8" t="s">
        <v>7</v>
      </c>
      <c r="G240" s="9" t="s">
        <v>8</v>
      </c>
      <c r="H240" s="8" t="s">
        <v>9</v>
      </c>
    </row>
    <row r="241" spans="1:8" ht="18">
      <c r="A241" s="10" t="s">
        <v>31</v>
      </c>
      <c r="B241" s="8">
        <v>201</v>
      </c>
      <c r="C241" s="8">
        <v>54</v>
      </c>
      <c r="D241" s="8">
        <v>1067</v>
      </c>
      <c r="E241" s="8">
        <v>1608</v>
      </c>
      <c r="F241" s="11">
        <v>8.1</v>
      </c>
      <c r="G241" s="9"/>
      <c r="H241" s="8">
        <f>F241*E241</f>
        <v>13024.8</v>
      </c>
    </row>
    <row r="242" spans="1:8" ht="18">
      <c r="A242" s="10" t="s">
        <v>28</v>
      </c>
      <c r="B242" s="8">
        <v>201</v>
      </c>
      <c r="C242" s="8">
        <v>318</v>
      </c>
      <c r="D242" s="8">
        <v>1590</v>
      </c>
      <c r="E242" s="8">
        <v>10248</v>
      </c>
      <c r="F242" s="8">
        <v>8.1</v>
      </c>
      <c r="G242" s="9"/>
      <c r="H242" s="8">
        <f>F242*E242</f>
        <v>83008.800000000003</v>
      </c>
    </row>
    <row r="243" spans="1:8" ht="18">
      <c r="A243" s="10" t="s">
        <v>39</v>
      </c>
      <c r="B243" s="8">
        <v>201</v>
      </c>
      <c r="C243" s="8">
        <v>409</v>
      </c>
      <c r="D243" s="8">
        <v>4088</v>
      </c>
      <c r="E243" s="8">
        <v>16196</v>
      </c>
      <c r="F243" s="8">
        <v>8.1</v>
      </c>
      <c r="G243" s="9"/>
      <c r="H243" s="8">
        <f>F243*E243</f>
        <v>131187.6</v>
      </c>
    </row>
    <row r="244" spans="1:8" ht="18">
      <c r="A244" s="10"/>
      <c r="B244" s="11"/>
      <c r="C244" s="11"/>
      <c r="D244" s="11"/>
      <c r="E244" s="11"/>
      <c r="F244" s="8"/>
      <c r="G244" s="9"/>
      <c r="H244" s="8"/>
    </row>
    <row r="245" spans="1:8" ht="18">
      <c r="A245" s="12"/>
      <c r="B245" s="11"/>
      <c r="C245" s="11"/>
      <c r="D245" s="11"/>
      <c r="E245" s="11"/>
      <c r="F245" s="8"/>
      <c r="G245" s="9"/>
      <c r="H245" s="8"/>
    </row>
    <row r="246" spans="1:8" ht="18">
      <c r="A246" s="12"/>
      <c r="B246" s="11"/>
      <c r="C246" s="11"/>
      <c r="D246" s="11"/>
      <c r="E246" s="11"/>
      <c r="F246" s="8"/>
      <c r="G246" s="9"/>
      <c r="H246" s="8"/>
    </row>
    <row r="247" spans="1:8" ht="18">
      <c r="A247" s="12"/>
      <c r="B247" s="11"/>
      <c r="C247" s="11"/>
      <c r="D247" s="11"/>
      <c r="E247" s="11"/>
      <c r="F247" s="11"/>
      <c r="G247" s="13"/>
      <c r="H247" s="8"/>
    </row>
    <row r="248" spans="1:8" ht="18">
      <c r="A248" s="12"/>
      <c r="B248" s="11"/>
      <c r="C248" s="11"/>
      <c r="D248" s="11"/>
      <c r="E248" s="11"/>
      <c r="F248" s="11"/>
      <c r="G248" s="13"/>
      <c r="H248" s="8"/>
    </row>
    <row r="249" spans="1:8" ht="18">
      <c r="A249" s="12"/>
      <c r="B249" s="11"/>
      <c r="C249" s="11"/>
      <c r="D249" s="11"/>
      <c r="E249" s="11"/>
      <c r="F249" s="8"/>
      <c r="G249" s="9"/>
      <c r="H249" s="8"/>
    </row>
    <row r="250" spans="1:8" ht="18">
      <c r="A250" s="12"/>
      <c r="B250" s="11"/>
      <c r="C250" s="11"/>
      <c r="D250" s="11"/>
      <c r="E250" s="11"/>
      <c r="F250" s="11"/>
      <c r="G250" s="13"/>
      <c r="H250" s="11"/>
    </row>
    <row r="251" spans="1:8" ht="18">
      <c r="A251" s="14"/>
      <c r="B251" s="15"/>
      <c r="C251" s="15"/>
      <c r="D251" s="15"/>
      <c r="E251" s="15"/>
      <c r="F251" s="15"/>
      <c r="G251" s="9"/>
      <c r="H251" s="8"/>
    </row>
    <row r="252" spans="1:8" ht="18">
      <c r="A252" s="14"/>
      <c r="B252" s="15"/>
      <c r="C252" s="15"/>
      <c r="D252" s="15"/>
      <c r="E252" s="15"/>
      <c r="F252" s="8"/>
      <c r="G252" s="9"/>
      <c r="H252" s="8"/>
    </row>
    <row r="253" spans="1:8" ht="18">
      <c r="A253" s="16"/>
      <c r="B253" s="17"/>
      <c r="C253" s="17"/>
      <c r="D253" s="17"/>
      <c r="E253" s="17"/>
      <c r="F253" s="8"/>
      <c r="G253" s="9"/>
      <c r="H253" s="8"/>
    </row>
    <row r="254" spans="1:8" ht="18">
      <c r="A254" s="10"/>
      <c r="B254" s="8"/>
      <c r="C254" s="8"/>
      <c r="D254" s="8"/>
      <c r="E254" s="8"/>
      <c r="F254" s="8"/>
      <c r="G254" s="9"/>
      <c r="H254" s="8"/>
    </row>
    <row r="255" spans="1:8" ht="18">
      <c r="A255" s="17" t="s">
        <v>15</v>
      </c>
      <c r="B255" s="17"/>
      <c r="C255" s="17">
        <f>SUM(C241:C254)</f>
        <v>781</v>
      </c>
      <c r="D255" s="17">
        <f>SUM(D241:D254)</f>
        <v>6745</v>
      </c>
      <c r="E255" s="17">
        <f>SUM(E241:E254)</f>
        <v>28052</v>
      </c>
      <c r="F255" s="17"/>
      <c r="G255" s="18"/>
      <c r="H255" s="17">
        <f>SUM(H241:H254)</f>
        <v>227221.2</v>
      </c>
    </row>
    <row r="256" spans="1:8" ht="18">
      <c r="A256" s="19" t="s">
        <v>16</v>
      </c>
      <c r="B256" s="22" t="s">
        <v>91</v>
      </c>
      <c r="C256" s="23"/>
      <c r="D256" s="23"/>
      <c r="E256" s="23"/>
      <c r="F256" s="23"/>
      <c r="G256" s="23"/>
      <c r="H256" s="24"/>
    </row>
    <row r="257" spans="1:8" ht="18">
      <c r="A257" s="21"/>
      <c r="B257" s="25" t="s">
        <v>92</v>
      </c>
      <c r="C257" s="26"/>
      <c r="D257" s="26"/>
      <c r="E257" s="26"/>
      <c r="F257" s="26"/>
      <c r="G257" s="26"/>
      <c r="H257" s="27"/>
    </row>
    <row r="258" spans="1:8" ht="18">
      <c r="A258" s="20"/>
      <c r="B258" s="28" t="s">
        <v>93</v>
      </c>
      <c r="C258" s="30"/>
      <c r="D258" s="30"/>
      <c r="E258" s="30"/>
      <c r="F258" s="30"/>
      <c r="G258" s="30"/>
      <c r="H258" s="29"/>
    </row>
    <row r="259" spans="1:8">
      <c r="A259" s="1"/>
      <c r="B259" s="2"/>
      <c r="C259" s="2"/>
      <c r="D259" s="2"/>
      <c r="E259" s="2"/>
      <c r="F259" s="2"/>
      <c r="G259" s="3"/>
      <c r="H259" s="2"/>
    </row>
  </sheetData>
  <mergeCells count="60">
    <mergeCell ref="A235:A237"/>
    <mergeCell ref="B235:H235"/>
    <mergeCell ref="B236:H236"/>
    <mergeCell ref="B237:H237"/>
    <mergeCell ref="B239:E239"/>
    <mergeCell ref="A256:A258"/>
    <mergeCell ref="B256:H256"/>
    <mergeCell ref="B257:H257"/>
    <mergeCell ref="B258:H258"/>
    <mergeCell ref="B197:E197"/>
    <mergeCell ref="A214:A216"/>
    <mergeCell ref="B214:H214"/>
    <mergeCell ref="B215:H215"/>
    <mergeCell ref="B216:H216"/>
    <mergeCell ref="B218:E218"/>
    <mergeCell ref="A172:A174"/>
    <mergeCell ref="B172:H172"/>
    <mergeCell ref="B173:H173"/>
    <mergeCell ref="B174:H174"/>
    <mergeCell ref="B176:E176"/>
    <mergeCell ref="A193:A195"/>
    <mergeCell ref="B193:H193"/>
    <mergeCell ref="B194:H194"/>
    <mergeCell ref="B195:H195"/>
    <mergeCell ref="B133:E133"/>
    <mergeCell ref="A151:A153"/>
    <mergeCell ref="B151:H151"/>
    <mergeCell ref="B152:H152"/>
    <mergeCell ref="B153:H153"/>
    <mergeCell ref="B155:E155"/>
    <mergeCell ref="A107:A109"/>
    <mergeCell ref="B107:H107"/>
    <mergeCell ref="B108:H108"/>
    <mergeCell ref="B109:H109"/>
    <mergeCell ref="B111:E111"/>
    <mergeCell ref="A129:A131"/>
    <mergeCell ref="B129:H129"/>
    <mergeCell ref="B130:H130"/>
    <mergeCell ref="B131:H131"/>
    <mergeCell ref="B67:E67"/>
    <mergeCell ref="A85:A87"/>
    <mergeCell ref="B85:H85"/>
    <mergeCell ref="B86:H86"/>
    <mergeCell ref="B87:H87"/>
    <mergeCell ref="B89:E89"/>
    <mergeCell ref="A41:A43"/>
    <mergeCell ref="B41:H41"/>
    <mergeCell ref="B42:H42"/>
    <mergeCell ref="B43:H43"/>
    <mergeCell ref="B45:E45"/>
    <mergeCell ref="A63:A65"/>
    <mergeCell ref="B63:H63"/>
    <mergeCell ref="B64:H64"/>
    <mergeCell ref="B65:H65"/>
    <mergeCell ref="B1:E1"/>
    <mergeCell ref="A19:A21"/>
    <mergeCell ref="B19:H19"/>
    <mergeCell ref="B20:H20"/>
    <mergeCell ref="B21:H21"/>
    <mergeCell ref="B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2026-06-01T13:11:18Z</dcterms:created>
  <dcterms:modified xsi:type="dcterms:W3CDTF">2026-06-01T13:12:35Z</dcterms:modified>
</cp:coreProperties>
</file>