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<sst xmlns="http://schemas.openxmlformats.org/spreadsheetml/2006/main" count="89" uniqueCount="47">
  <si>
    <t xml:space="preserve">小柜1</t>
  </si>
  <si>
    <t xml:space="preserve">    克力木装箱单      </t>
  </si>
  <si>
    <t xml:space="preserve">规格</t>
  </si>
  <si>
    <t xml:space="preserve">材质</t>
  </si>
  <si>
    <t xml:space="preserve">件数</t>
  </si>
  <si>
    <t xml:space="preserve">支数</t>
  </si>
  <si>
    <t xml:space="preserve">重量(Kg)</t>
  </si>
  <si>
    <t xml:space="preserve">单价</t>
  </si>
  <si>
    <t xml:space="preserve">加工费</t>
  </si>
  <si>
    <t xml:space="preserve">金额</t>
  </si>
  <si>
    <t xml:space="preserve">0.85*25*25*5800</t>
  </si>
  <si>
    <t xml:space="preserve">0.65*20*10*5800</t>
  </si>
  <si>
    <t xml:space="preserve">0.55*19*5620</t>
  </si>
  <si>
    <t xml:space="preserve">0.85*50.8*5800</t>
  </si>
  <si>
    <t xml:space="preserve">0.85*30*30*5800</t>
  </si>
  <si>
    <t xml:space="preserve"> </t>
  </si>
  <si>
    <t xml:space="preserve">板厂重量</t>
  </si>
  <si>
    <t xml:space="preserve">合计：</t>
  </si>
  <si>
    <t xml:space="preserve">备注</t>
  </si>
  <si>
    <t xml:space="preserve">柜号:CRXU1561318</t>
  </si>
  <si>
    <t xml:space="preserve">封条：889814</t>
  </si>
  <si>
    <t xml:space="preserve">车牌：粤AHF730</t>
  </si>
  <si>
    <t xml:space="preserve">小柜2</t>
  </si>
  <si>
    <t xml:space="preserve">1.35*80*40*5800</t>
  </si>
  <si>
    <t xml:space="preserve">1.35*50*50*5800</t>
  </si>
  <si>
    <t xml:space="preserve">0.65*20*20*5800</t>
  </si>
  <si>
    <t xml:space="preserve">0.85*20*10*5800</t>
  </si>
  <si>
    <t xml:space="preserve">0.85*25*5800</t>
  </si>
  <si>
    <t xml:space="preserve">柜号:GESU3532763</t>
  </si>
  <si>
    <t xml:space="preserve">封条：000891</t>
  </si>
  <si>
    <t xml:space="preserve">车牌：粤ALF067</t>
  </si>
  <si>
    <t xml:space="preserve">小柜3</t>
  </si>
  <si>
    <t xml:space="preserve">1.05*50*50*5800</t>
  </si>
  <si>
    <t xml:space="preserve">1.35*40*40*5800</t>
  </si>
  <si>
    <t xml:space="preserve">裕顺304板重量</t>
  </si>
  <si>
    <t xml:space="preserve">柜号:GESU3033234</t>
  </si>
  <si>
    <t xml:space="preserve">封条：000983</t>
  </si>
  <si>
    <t xml:space="preserve">车牌：粤AJL615</t>
  </si>
  <si>
    <t xml:space="preserve">小柜4</t>
  </si>
  <si>
    <t xml:space="preserve">0.85*20*20*5800</t>
  </si>
  <si>
    <t xml:space="preserve">201/J1</t>
  </si>
  <si>
    <t xml:space="preserve">0.65*9.5*5800</t>
  </si>
  <si>
    <t xml:space="preserve">0.65*16*5800</t>
  </si>
  <si>
    <t xml:space="preserve">201/J4</t>
  </si>
  <si>
    <t xml:space="preserve">柜号:CRXU3333908</t>
  </si>
  <si>
    <t xml:space="preserve">封条：262708</t>
  </si>
  <si>
    <t xml:space="preserve">车牌：粤ACW393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</si>
</sst>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 "/>
    <numFmt numFmtId="166" formatCode="dd/mm/yyyy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FF0000"/>
      <name val="宋体"/>
      <family val="0"/>
      <charset val="134"/>
    </font>
    <font>
      <sz val="22"/>
      <color theme="1"/>
      <name val="宋体"/>
      <family val="0"/>
      <charset val="134"/>
    </font>
    <font>
      <sz val="14"/>
      <color theme="1"/>
      <name val="宋体"/>
      <family val="0"/>
      <charset val="134"/>
    </font>
    <font>
      <sz val="14"/>
      <name val="宋体"/>
      <family val="0"/>
      <charset val="134"/>
    </font>
    <font>
      <b val="true"/>
      <sz val="14"/>
      <color rgb="FFFF0000"/>
      <name val="宋体"/>
      <family val="0"/>
      <charset val="134"/>
    </font>
    <font>
      <b val="true"/>
      <sz val="14"/>
      <color theme="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06"/>
    <col collapsed="false" customWidth="true" hidden="false" outlineLevel="0" max="8" min="8" style="0" width="31.88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3"/>
      <c r="G1" s="4"/>
      <c r="H1" s="5" t="n">
        <v>46180</v>
      </c>
    </row>
    <row r="2" customFormat="false" ht="17.35" hidden="false" customHeight="false" outlineLevel="0" collapsed="false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6" t="s">
        <v>9</v>
      </c>
    </row>
    <row r="3" customFormat="false" ht="17.35" hidden="false" customHeight="false" outlineLevel="0" collapsed="false">
      <c r="A3" s="8" t="s">
        <v>10</v>
      </c>
      <c r="B3" s="6" t="n">
        <v>201</v>
      </c>
      <c r="C3" s="6" t="n">
        <v>56</v>
      </c>
      <c r="D3" s="6" t="n">
        <v>560</v>
      </c>
      <c r="E3" s="6" t="n">
        <v>2126</v>
      </c>
      <c r="F3" s="9" t="n">
        <v>7.83</v>
      </c>
      <c r="G3" s="7"/>
      <c r="H3" s="6" t="n">
        <f aca="false">F3*E3</f>
        <v>16646.58</v>
      </c>
    </row>
    <row r="4" customFormat="false" ht="17.35" hidden="false" customHeight="false" outlineLevel="0" collapsed="false">
      <c r="A4" s="8" t="s">
        <v>11</v>
      </c>
      <c r="B4" s="6" t="n">
        <v>201</v>
      </c>
      <c r="C4" s="6" t="n">
        <v>166</v>
      </c>
      <c r="D4" s="6" t="n">
        <v>1660</v>
      </c>
      <c r="E4" s="6" t="n">
        <v>2817</v>
      </c>
      <c r="F4" s="6" t="n">
        <v>7.83</v>
      </c>
      <c r="G4" s="7"/>
      <c r="H4" s="6" t="n">
        <f aca="false">F4*E4</f>
        <v>22057.11</v>
      </c>
    </row>
    <row r="5" customFormat="false" ht="17.35" hidden="false" customHeight="false" outlineLevel="0" collapsed="false">
      <c r="A5" s="8" t="s">
        <v>12</v>
      </c>
      <c r="B5" s="6" t="n">
        <v>201</v>
      </c>
      <c r="C5" s="6" t="n">
        <v>125</v>
      </c>
      <c r="D5" s="6" t="n">
        <v>2497</v>
      </c>
      <c r="E5" s="6" t="n">
        <v>3651</v>
      </c>
      <c r="F5" s="6" t="n">
        <v>7.9</v>
      </c>
      <c r="G5" s="7"/>
      <c r="H5" s="6" t="n">
        <f aca="false">F5*E5</f>
        <v>28842.9</v>
      </c>
    </row>
    <row r="6" customFormat="false" ht="17.35" hidden="false" customHeight="false" outlineLevel="0" collapsed="false">
      <c r="A6" s="8" t="s">
        <v>13</v>
      </c>
      <c r="B6" s="9" t="n">
        <v>201</v>
      </c>
      <c r="C6" s="9" t="n">
        <v>113</v>
      </c>
      <c r="D6" s="9" t="n">
        <v>565</v>
      </c>
      <c r="E6" s="9" t="n">
        <v>3530</v>
      </c>
      <c r="F6" s="6" t="n">
        <v>7.83</v>
      </c>
      <c r="G6" s="7"/>
      <c r="H6" s="6" t="n">
        <f aca="false">F6*E6</f>
        <v>27639.9</v>
      </c>
    </row>
    <row r="7" customFormat="false" ht="17.35" hidden="false" customHeight="false" outlineLevel="0" collapsed="false">
      <c r="A7" s="10" t="s">
        <v>14</v>
      </c>
      <c r="B7" s="9" t="n">
        <v>201</v>
      </c>
      <c r="C7" s="9" t="n">
        <v>77</v>
      </c>
      <c r="D7" s="9" t="n">
        <v>613</v>
      </c>
      <c r="E7" s="9" t="n">
        <v>2823</v>
      </c>
      <c r="F7" s="6" t="n">
        <v>7.83</v>
      </c>
      <c r="G7" s="7"/>
      <c r="H7" s="6" t="n">
        <f aca="false">F7*E7</f>
        <v>22104.09</v>
      </c>
    </row>
    <row r="8" customFormat="false" ht="17.35" hidden="false" customHeight="false" outlineLevel="0" collapsed="false">
      <c r="A8" s="10" t="s">
        <v>15</v>
      </c>
      <c r="B8" s="9"/>
      <c r="C8" s="9"/>
      <c r="D8" s="9"/>
      <c r="E8" s="9"/>
      <c r="F8" s="6"/>
      <c r="G8" s="7"/>
      <c r="H8" s="6"/>
    </row>
    <row r="9" customFormat="false" ht="17.35" hidden="false" customHeight="false" outlineLevel="0" collapsed="false">
      <c r="A9" s="11"/>
      <c r="B9" s="12"/>
      <c r="C9" s="12"/>
      <c r="D9" s="12"/>
      <c r="E9" s="12"/>
      <c r="F9" s="12"/>
      <c r="G9" s="13"/>
      <c r="H9" s="6"/>
    </row>
    <row r="10" customFormat="false" ht="17.35" hidden="false" customHeight="false" outlineLevel="0" collapsed="false">
      <c r="A10" s="11"/>
      <c r="B10" s="12"/>
      <c r="C10" s="12"/>
      <c r="D10" s="12"/>
      <c r="E10" s="12"/>
      <c r="F10" s="12"/>
      <c r="G10" s="13"/>
      <c r="H10" s="6"/>
    </row>
    <row r="11" customFormat="false" ht="17.35" hidden="false" customHeight="false" outlineLevel="0" collapsed="false">
      <c r="A11" s="10"/>
      <c r="B11" s="9"/>
      <c r="C11" s="9"/>
      <c r="D11" s="9"/>
      <c r="E11" s="9"/>
      <c r="F11" s="6"/>
      <c r="G11" s="7"/>
      <c r="H11" s="6"/>
    </row>
    <row r="12" customFormat="false" ht="17.35" hidden="false" customHeight="false" outlineLevel="0" collapsed="false">
      <c r="A12" s="10"/>
      <c r="B12" s="9"/>
      <c r="C12" s="9"/>
      <c r="D12" s="9"/>
      <c r="E12" s="9"/>
      <c r="F12" s="9"/>
      <c r="G12" s="14"/>
      <c r="H12" s="9"/>
    </row>
    <row r="13" customFormat="false" ht="17.35" hidden="false" customHeight="false" outlineLevel="0" collapsed="false">
      <c r="A13" s="15" t="s">
        <v>16</v>
      </c>
      <c r="B13" s="16"/>
      <c r="C13" s="16"/>
      <c r="D13" s="16"/>
      <c r="E13" s="16" t="n">
        <v>13084</v>
      </c>
      <c r="F13" s="16"/>
      <c r="G13" s="7"/>
      <c r="H13" s="6"/>
    </row>
    <row r="14" customFormat="false" ht="17.35" hidden="false" customHeight="false" outlineLevel="0" collapsed="false">
      <c r="A14" s="15"/>
      <c r="B14" s="16"/>
      <c r="C14" s="16"/>
      <c r="D14" s="16"/>
      <c r="E14" s="16"/>
      <c r="F14" s="6"/>
      <c r="G14" s="7"/>
      <c r="H14" s="6"/>
    </row>
    <row r="15" customFormat="false" ht="17.35" hidden="false" customHeight="false" outlineLevel="0" collapsed="false">
      <c r="A15" s="17"/>
      <c r="B15" s="18"/>
      <c r="C15" s="18"/>
      <c r="D15" s="18"/>
      <c r="E15" s="18"/>
      <c r="F15" s="6"/>
      <c r="G15" s="7"/>
      <c r="H15" s="6"/>
    </row>
    <row r="16" customFormat="false" ht="17.35" hidden="false" customHeight="false" outlineLevel="0" collapsed="false">
      <c r="A16" s="8"/>
      <c r="B16" s="6"/>
      <c r="C16" s="6"/>
      <c r="D16" s="6"/>
      <c r="E16" s="6"/>
      <c r="F16" s="6"/>
      <c r="G16" s="7"/>
      <c r="H16" s="6"/>
    </row>
    <row r="17" customFormat="false" ht="17.35" hidden="false" customHeight="false" outlineLevel="0" collapsed="false">
      <c r="A17" s="18" t="s">
        <v>17</v>
      </c>
      <c r="B17" s="18"/>
      <c r="C17" s="18" t="n">
        <f aca="false">SUM(C3:C16)</f>
        <v>537</v>
      </c>
      <c r="D17" s="18" t="n">
        <f aca="false">SUM(D3:D16)</f>
        <v>5895</v>
      </c>
      <c r="E17" s="18" t="n">
        <f aca="false">SUM(E3:E16)</f>
        <v>28031</v>
      </c>
      <c r="F17" s="18"/>
      <c r="G17" s="19"/>
      <c r="H17" s="18" t="n">
        <f aca="false">SUM(H3:H16)</f>
        <v>117290.58</v>
      </c>
    </row>
    <row r="18" customFormat="false" ht="15.05" hidden="false" customHeight="true" outlineLevel="0" collapsed="false">
      <c r="A18" s="20" t="s">
        <v>18</v>
      </c>
      <c r="B18" s="21" t="s">
        <v>19</v>
      </c>
      <c r="C18" s="21"/>
      <c r="D18" s="21"/>
      <c r="E18" s="21"/>
      <c r="F18" s="21"/>
      <c r="G18" s="21"/>
      <c r="H18" s="21"/>
    </row>
    <row r="19" customFormat="false" ht="15.05" hidden="false" customHeight="false" outlineLevel="0" collapsed="false">
      <c r="A19" s="20"/>
      <c r="B19" s="22" t="s">
        <v>20</v>
      </c>
      <c r="C19" s="22"/>
      <c r="D19" s="22"/>
      <c r="E19" s="22"/>
      <c r="F19" s="22"/>
      <c r="G19" s="22"/>
      <c r="H19" s="22"/>
    </row>
    <row r="20" customFormat="false" ht="15.05" hidden="false" customHeight="false" outlineLevel="0" collapsed="false">
      <c r="A20" s="20"/>
      <c r="B20" s="23" t="s">
        <v>21</v>
      </c>
      <c r="C20" s="23"/>
      <c r="D20" s="23"/>
      <c r="E20" s="23"/>
      <c r="F20" s="23"/>
      <c r="G20" s="23"/>
      <c r="H20" s="23"/>
    </row>
    <row r="21" customFormat="false" ht="12.8" hidden="false" customHeight="false" outlineLevel="0" collapsed="false">
      <c r="B21" s="3"/>
      <c r="C21" s="3"/>
      <c r="D21" s="3"/>
      <c r="E21" s="3"/>
      <c r="F21" s="3"/>
      <c r="G21" s="24"/>
      <c r="H21" s="3"/>
    </row>
    <row r="22" customFormat="false" ht="26.8" hidden="false" customHeight="false" outlineLevel="0" collapsed="false">
      <c r="A22" s="1" t="s">
        <v>22</v>
      </c>
      <c r="B22" s="2" t="s">
        <v>1</v>
      </c>
      <c r="C22" s="2"/>
      <c r="D22" s="2"/>
      <c r="E22" s="2"/>
      <c r="F22" s="3"/>
      <c r="G22" s="4"/>
      <c r="H22" s="5" t="n">
        <v>46180</v>
      </c>
    </row>
    <row r="23" customFormat="false" ht="17.35" hidden="false" customHeight="false" outlineLevel="0" collapsed="false">
      <c r="A23" s="6" t="s">
        <v>2</v>
      </c>
      <c r="B23" s="6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7" t="s">
        <v>8</v>
      </c>
      <c r="H23" s="6" t="s">
        <v>9</v>
      </c>
    </row>
    <row r="24" customFormat="false" ht="17.35" hidden="false" customHeight="false" outlineLevel="0" collapsed="false">
      <c r="A24" s="8" t="s">
        <v>23</v>
      </c>
      <c r="B24" s="6" t="n">
        <v>201</v>
      </c>
      <c r="C24" s="6" t="n">
        <v>85</v>
      </c>
      <c r="D24" s="6" t="n">
        <v>171</v>
      </c>
      <c r="E24" s="6" t="n">
        <v>2501</v>
      </c>
      <c r="F24" s="9" t="n">
        <v>7.3</v>
      </c>
      <c r="G24" s="7"/>
      <c r="H24" s="6" t="n">
        <f aca="false">F24*E24</f>
        <v>18257.3</v>
      </c>
    </row>
    <row r="25" customFormat="false" ht="17.35" hidden="false" customHeight="false" outlineLevel="0" collapsed="false">
      <c r="A25" s="8" t="s">
        <v>24</v>
      </c>
      <c r="B25" s="6" t="n">
        <v>201</v>
      </c>
      <c r="C25" s="6" t="n">
        <v>68</v>
      </c>
      <c r="D25" s="6" t="n">
        <v>270</v>
      </c>
      <c r="E25" s="6" t="n">
        <v>3252</v>
      </c>
      <c r="F25" s="6" t="n">
        <v>7.83</v>
      </c>
      <c r="G25" s="7"/>
      <c r="H25" s="6" t="n">
        <f aca="false">F25*E25</f>
        <v>25463.16</v>
      </c>
    </row>
    <row r="26" customFormat="false" ht="17.35" hidden="false" customHeight="false" outlineLevel="0" collapsed="false">
      <c r="A26" s="8" t="s">
        <v>25</v>
      </c>
      <c r="B26" s="6" t="n">
        <v>201</v>
      </c>
      <c r="C26" s="6" t="n">
        <v>101</v>
      </c>
      <c r="D26" s="6" t="n">
        <v>1006</v>
      </c>
      <c r="E26" s="6" t="n">
        <v>2397</v>
      </c>
      <c r="F26" s="6" t="n">
        <v>7.9</v>
      </c>
      <c r="G26" s="7"/>
      <c r="H26" s="6" t="n">
        <f aca="false">F26*E26</f>
        <v>18936.3</v>
      </c>
    </row>
    <row r="27" customFormat="false" ht="17.35" hidden="false" customHeight="false" outlineLevel="0" collapsed="false">
      <c r="A27" s="8" t="s">
        <v>26</v>
      </c>
      <c r="B27" s="9" t="n">
        <v>201</v>
      </c>
      <c r="C27" s="9" t="n">
        <v>51</v>
      </c>
      <c r="D27" s="9" t="n">
        <v>1010</v>
      </c>
      <c r="E27" s="9" t="n">
        <v>2235</v>
      </c>
      <c r="F27" s="6" t="n">
        <v>7.9</v>
      </c>
      <c r="G27" s="7"/>
      <c r="H27" s="6" t="n">
        <f aca="false">F27*E27</f>
        <v>17656.5</v>
      </c>
    </row>
    <row r="28" customFormat="false" ht="17.35" hidden="false" customHeight="false" outlineLevel="0" collapsed="false">
      <c r="A28" s="10" t="s">
        <v>12</v>
      </c>
      <c r="B28" s="9" t="n">
        <v>201</v>
      </c>
      <c r="C28" s="9" t="n">
        <v>27</v>
      </c>
      <c r="D28" s="9" t="n">
        <v>540</v>
      </c>
      <c r="E28" s="9" t="n">
        <v>781</v>
      </c>
      <c r="F28" s="6" t="n">
        <v>7.9</v>
      </c>
      <c r="G28" s="7"/>
      <c r="H28" s="6" t="n">
        <f aca="false">F28*E28</f>
        <v>6169.9</v>
      </c>
    </row>
    <row r="29" customFormat="false" ht="17.35" hidden="false" customHeight="false" outlineLevel="0" collapsed="false">
      <c r="A29" s="10" t="s">
        <v>13</v>
      </c>
      <c r="B29" s="9" t="n">
        <v>201</v>
      </c>
      <c r="C29" s="9" t="n">
        <v>58</v>
      </c>
      <c r="D29" s="9" t="n">
        <v>289</v>
      </c>
      <c r="E29" s="9" t="n">
        <v>1823</v>
      </c>
      <c r="F29" s="6" t="n">
        <v>7.83</v>
      </c>
      <c r="G29" s="7"/>
      <c r="H29" s="6" t="n">
        <v>14274.09</v>
      </c>
    </row>
    <row r="30" customFormat="false" ht="17.35" hidden="false" customHeight="false" outlineLevel="0" collapsed="false">
      <c r="A30" s="11" t="s">
        <v>27</v>
      </c>
      <c r="B30" s="12" t="n">
        <v>201</v>
      </c>
      <c r="C30" s="12" t="n">
        <v>74</v>
      </c>
      <c r="D30" s="12" t="n">
        <v>740</v>
      </c>
      <c r="E30" s="12" t="n">
        <v>2184</v>
      </c>
      <c r="F30" s="12" t="n">
        <v>7.9</v>
      </c>
      <c r="G30" s="13"/>
      <c r="H30" s="6" t="n">
        <v>17253.6</v>
      </c>
    </row>
    <row r="31" customFormat="false" ht="17.35" hidden="false" customHeight="false" outlineLevel="0" collapsed="false">
      <c r="A31" s="11"/>
      <c r="B31" s="12"/>
      <c r="C31" s="12"/>
      <c r="D31" s="12"/>
      <c r="E31" s="12"/>
      <c r="F31" s="12"/>
      <c r="G31" s="13"/>
      <c r="H31" s="6"/>
    </row>
    <row r="32" customFormat="false" ht="17.35" hidden="false" customHeight="false" outlineLevel="0" collapsed="false">
      <c r="A32" s="10"/>
      <c r="B32" s="9"/>
      <c r="C32" s="9"/>
      <c r="D32" s="9"/>
      <c r="E32" s="9"/>
      <c r="F32" s="6"/>
      <c r="G32" s="7"/>
      <c r="H32" s="6"/>
    </row>
    <row r="33" customFormat="false" ht="17.35" hidden="false" customHeight="false" outlineLevel="0" collapsed="false">
      <c r="A33" s="10"/>
      <c r="B33" s="9"/>
      <c r="C33" s="9"/>
      <c r="D33" s="9"/>
      <c r="E33" s="9"/>
      <c r="F33" s="9"/>
      <c r="G33" s="14"/>
      <c r="H33" s="9"/>
    </row>
    <row r="34" customFormat="false" ht="17.35" hidden="false" customHeight="false" outlineLevel="0" collapsed="false">
      <c r="A34" s="15" t="s">
        <v>16</v>
      </c>
      <c r="B34" s="16"/>
      <c r="C34" s="16"/>
      <c r="D34" s="16"/>
      <c r="E34" s="16" t="n">
        <v>12844</v>
      </c>
      <c r="F34" s="16"/>
      <c r="G34" s="7"/>
      <c r="H34" s="6"/>
    </row>
    <row r="35" customFormat="false" ht="17.35" hidden="false" customHeight="false" outlineLevel="0" collapsed="false">
      <c r="A35" s="15"/>
      <c r="B35" s="16"/>
      <c r="C35" s="16"/>
      <c r="D35" s="16"/>
      <c r="E35" s="16"/>
      <c r="F35" s="6"/>
      <c r="G35" s="7"/>
      <c r="H35" s="6"/>
    </row>
    <row r="36" customFormat="false" ht="17.35" hidden="false" customHeight="false" outlineLevel="0" collapsed="false">
      <c r="A36" s="17"/>
      <c r="B36" s="18"/>
      <c r="C36" s="18"/>
      <c r="D36" s="18"/>
      <c r="E36" s="18"/>
      <c r="F36" s="6"/>
      <c r="G36" s="7"/>
      <c r="H36" s="6"/>
    </row>
    <row r="37" customFormat="false" ht="17.35" hidden="false" customHeight="false" outlineLevel="0" collapsed="false">
      <c r="A37" s="8"/>
      <c r="B37" s="6"/>
      <c r="C37" s="6"/>
      <c r="D37" s="6"/>
      <c r="E37" s="6"/>
      <c r="F37" s="6"/>
      <c r="G37" s="7"/>
      <c r="H37" s="6"/>
    </row>
    <row r="38" customFormat="false" ht="17.35" hidden="false" customHeight="false" outlineLevel="0" collapsed="false">
      <c r="A38" s="18" t="s">
        <v>17</v>
      </c>
      <c r="B38" s="18"/>
      <c r="C38" s="18" t="n">
        <f aca="false">SUM(C24:C37)</f>
        <v>464</v>
      </c>
      <c r="D38" s="18" t="n">
        <f aca="false">SUM(D24:D37)</f>
        <v>4026</v>
      </c>
      <c r="E38" s="18" t="n">
        <f aca="false">SUM(E24:E37)</f>
        <v>28017</v>
      </c>
      <c r="F38" s="18"/>
      <c r="G38" s="19"/>
      <c r="H38" s="18" t="n">
        <f aca="false">SUM(H24:H37)</f>
        <v>118010.85</v>
      </c>
    </row>
    <row r="39" customFormat="false" ht="15.05" hidden="false" customHeight="true" outlineLevel="0" collapsed="false">
      <c r="A39" s="20" t="s">
        <v>18</v>
      </c>
      <c r="B39" s="21" t="s">
        <v>28</v>
      </c>
      <c r="C39" s="21"/>
      <c r="D39" s="21"/>
      <c r="E39" s="21"/>
      <c r="F39" s="21"/>
      <c r="G39" s="21"/>
      <c r="H39" s="21"/>
    </row>
    <row r="40" customFormat="false" ht="15.05" hidden="false" customHeight="false" outlineLevel="0" collapsed="false">
      <c r="A40" s="20"/>
      <c r="B40" s="22" t="s">
        <v>29</v>
      </c>
      <c r="C40" s="22"/>
      <c r="D40" s="22"/>
      <c r="E40" s="22"/>
      <c r="F40" s="22"/>
      <c r="G40" s="22"/>
      <c r="H40" s="22"/>
    </row>
    <row r="41" customFormat="false" ht="15.05" hidden="false" customHeight="false" outlineLevel="0" collapsed="false">
      <c r="A41" s="20"/>
      <c r="B41" s="23" t="s">
        <v>30</v>
      </c>
      <c r="C41" s="23"/>
      <c r="D41" s="23"/>
      <c r="E41" s="23"/>
      <c r="F41" s="23"/>
      <c r="G41" s="23"/>
      <c r="H41" s="23"/>
    </row>
    <row r="42" customFormat="false" ht="12.8" hidden="false" customHeight="false" outlineLevel="0" collapsed="false">
      <c r="B42" s="3"/>
      <c r="C42" s="3"/>
      <c r="D42" s="3"/>
      <c r="E42" s="3"/>
      <c r="F42" s="3"/>
      <c r="G42" s="24"/>
      <c r="H42" s="3"/>
    </row>
    <row r="43" customFormat="false" ht="26.8" hidden="false" customHeight="false" outlineLevel="0" collapsed="false">
      <c r="A43" s="1" t="s">
        <v>31</v>
      </c>
      <c r="B43" s="2" t="s">
        <v>1</v>
      </c>
      <c r="C43" s="2"/>
      <c r="D43" s="2"/>
      <c r="E43" s="2"/>
      <c r="F43" s="3"/>
      <c r="G43" s="4"/>
      <c r="H43" s="5" t="n">
        <v>46180</v>
      </c>
    </row>
    <row r="44" customFormat="false" ht="17.35" hidden="false" customHeight="false" outlineLevel="0" collapsed="false">
      <c r="A44" s="6" t="s">
        <v>2</v>
      </c>
      <c r="B44" s="6" t="s">
        <v>3</v>
      </c>
      <c r="C44" s="6" t="s">
        <v>4</v>
      </c>
      <c r="D44" s="6" t="s">
        <v>5</v>
      </c>
      <c r="E44" s="6" t="s">
        <v>6</v>
      </c>
      <c r="F44" s="6" t="s">
        <v>7</v>
      </c>
      <c r="G44" s="7" t="s">
        <v>8</v>
      </c>
      <c r="H44" s="6" t="s">
        <v>9</v>
      </c>
    </row>
    <row r="45" customFormat="false" ht="17.35" hidden="false" customHeight="false" outlineLevel="0" collapsed="false">
      <c r="A45" s="8" t="s">
        <v>32</v>
      </c>
      <c r="B45" s="6" t="n">
        <v>201</v>
      </c>
      <c r="C45" s="6" t="n">
        <v>61</v>
      </c>
      <c r="D45" s="6" t="n">
        <v>242</v>
      </c>
      <c r="E45" s="6" t="n">
        <v>2342</v>
      </c>
      <c r="F45" s="9" t="n">
        <v>7.83</v>
      </c>
      <c r="G45" s="7"/>
      <c r="H45" s="6" t="n">
        <f aca="false">F45*E45</f>
        <v>18337.86</v>
      </c>
    </row>
    <row r="46" customFormat="false" ht="17.35" hidden="false" customHeight="false" outlineLevel="0" collapsed="false">
      <c r="A46" s="8" t="s">
        <v>33</v>
      </c>
      <c r="B46" s="6" t="n">
        <v>201</v>
      </c>
      <c r="C46" s="6" t="n">
        <v>34</v>
      </c>
      <c r="D46" s="6" t="n">
        <v>200</v>
      </c>
      <c r="E46" s="6" t="n">
        <v>1915</v>
      </c>
      <c r="F46" s="6" t="n">
        <v>7.83</v>
      </c>
      <c r="G46" s="7"/>
      <c r="H46" s="6" t="n">
        <f aca="false">F46*E46</f>
        <v>14994.45</v>
      </c>
    </row>
    <row r="47" customFormat="false" ht="17.35" hidden="false" customHeight="false" outlineLevel="0" collapsed="false">
      <c r="A47" s="8" t="s">
        <v>13</v>
      </c>
      <c r="B47" s="6" t="n">
        <v>201</v>
      </c>
      <c r="C47" s="6" t="n">
        <v>164</v>
      </c>
      <c r="D47" s="6" t="n">
        <v>820</v>
      </c>
      <c r="E47" s="6" t="n">
        <v>5179</v>
      </c>
      <c r="F47" s="6" t="n">
        <v>7.83</v>
      </c>
      <c r="G47" s="7"/>
      <c r="H47" s="6" t="n">
        <f aca="false">F47*E47</f>
        <v>40551.57</v>
      </c>
    </row>
    <row r="48" customFormat="false" ht="17.35" hidden="false" customHeight="false" outlineLevel="0" collapsed="false">
      <c r="A48" s="8"/>
      <c r="B48" s="9"/>
      <c r="C48" s="9"/>
      <c r="D48" s="9"/>
      <c r="E48" s="9"/>
      <c r="F48" s="6"/>
      <c r="G48" s="7"/>
      <c r="H48" s="6"/>
    </row>
    <row r="49" customFormat="false" ht="17.35" hidden="false" customHeight="false" outlineLevel="0" collapsed="false">
      <c r="A49" s="10"/>
      <c r="B49" s="9"/>
      <c r="C49" s="9"/>
      <c r="D49" s="9"/>
      <c r="E49" s="9"/>
      <c r="F49" s="6"/>
      <c r="G49" s="7"/>
      <c r="H49" s="6"/>
    </row>
    <row r="50" customFormat="false" ht="17.35" hidden="false" customHeight="false" outlineLevel="0" collapsed="false">
      <c r="A50" s="10"/>
      <c r="B50" s="9"/>
      <c r="C50" s="9"/>
      <c r="D50" s="9"/>
      <c r="E50" s="9"/>
      <c r="F50" s="6"/>
      <c r="G50" s="7"/>
      <c r="H50" s="6"/>
    </row>
    <row r="51" customFormat="false" ht="17.35" hidden="false" customHeight="false" outlineLevel="0" collapsed="false">
      <c r="A51" s="11"/>
      <c r="B51" s="12"/>
      <c r="C51" s="12"/>
      <c r="D51" s="12"/>
      <c r="E51" s="12"/>
      <c r="F51" s="12"/>
      <c r="G51" s="13"/>
      <c r="H51" s="6"/>
    </row>
    <row r="52" customFormat="false" ht="17.35" hidden="false" customHeight="false" outlineLevel="0" collapsed="false">
      <c r="A52" s="11"/>
      <c r="B52" s="12"/>
      <c r="C52" s="12"/>
      <c r="D52" s="12"/>
      <c r="E52" s="12"/>
      <c r="F52" s="12"/>
      <c r="G52" s="13"/>
      <c r="H52" s="6"/>
    </row>
    <row r="53" customFormat="false" ht="17.35" hidden="false" customHeight="false" outlineLevel="0" collapsed="false">
      <c r="A53" s="10"/>
      <c r="B53" s="9"/>
      <c r="C53" s="9"/>
      <c r="D53" s="9"/>
      <c r="E53" s="9"/>
      <c r="F53" s="6"/>
      <c r="G53" s="7"/>
      <c r="H53" s="6"/>
    </row>
    <row r="54" customFormat="false" ht="17.35" hidden="false" customHeight="false" outlineLevel="0" collapsed="false">
      <c r="A54" s="10"/>
      <c r="B54" s="9"/>
      <c r="C54" s="9"/>
      <c r="D54" s="9"/>
      <c r="E54" s="9"/>
      <c r="F54" s="9"/>
      <c r="G54" s="14"/>
      <c r="H54" s="9"/>
    </row>
    <row r="55" customFormat="false" ht="17.35" hidden="false" customHeight="false" outlineLevel="0" collapsed="false">
      <c r="A55" s="15" t="s">
        <v>16</v>
      </c>
      <c r="B55" s="16"/>
      <c r="C55" s="16"/>
      <c r="D55" s="16"/>
      <c r="E55" s="16" t="n">
        <v>16010</v>
      </c>
      <c r="F55" s="16"/>
      <c r="G55" s="7"/>
      <c r="H55" s="6"/>
    </row>
    <row r="56" customFormat="false" ht="17.35" hidden="false" customHeight="false" outlineLevel="0" collapsed="false">
      <c r="A56" s="15" t="s">
        <v>34</v>
      </c>
      <c r="B56" s="16"/>
      <c r="C56" s="16"/>
      <c r="D56" s="16"/>
      <c r="E56" s="16" t="n">
        <v>2570</v>
      </c>
      <c r="F56" s="6"/>
      <c r="G56" s="7"/>
      <c r="H56" s="6"/>
    </row>
    <row r="57" customFormat="false" ht="17.35" hidden="false" customHeight="false" outlineLevel="0" collapsed="false">
      <c r="A57" s="17"/>
      <c r="B57" s="18"/>
      <c r="C57" s="18"/>
      <c r="D57" s="18"/>
      <c r="E57" s="18"/>
      <c r="F57" s="6"/>
      <c r="G57" s="7"/>
      <c r="H57" s="6"/>
    </row>
    <row r="58" customFormat="false" ht="17.35" hidden="false" customHeight="false" outlineLevel="0" collapsed="false">
      <c r="A58" s="8"/>
      <c r="B58" s="6"/>
      <c r="C58" s="6"/>
      <c r="D58" s="6"/>
      <c r="E58" s="6"/>
      <c r="F58" s="6"/>
      <c r="G58" s="7"/>
      <c r="H58" s="6"/>
    </row>
    <row r="59" customFormat="false" ht="17.35" hidden="false" customHeight="false" outlineLevel="0" collapsed="false">
      <c r="A59" s="18" t="s">
        <v>17</v>
      </c>
      <c r="B59" s="18"/>
      <c r="C59" s="18" t="n">
        <f aca="false">SUM(C45:C58)</f>
        <v>259</v>
      </c>
      <c r="D59" s="18" t="n">
        <f aca="false">SUM(D45:D58)</f>
        <v>1262</v>
      </c>
      <c r="E59" s="18" t="n">
        <f aca="false">SUM(E45:E58)</f>
        <v>28016</v>
      </c>
      <c r="F59" s="18"/>
      <c r="G59" s="19"/>
      <c r="H59" s="18" t="n">
        <f aca="false">SUM(H45:H58)</f>
        <v>73883.88</v>
      </c>
    </row>
    <row r="60" customFormat="false" ht="15.05" hidden="false" customHeight="true" outlineLevel="0" collapsed="false">
      <c r="A60" s="20" t="s">
        <v>18</v>
      </c>
      <c r="B60" s="21" t="s">
        <v>35</v>
      </c>
      <c r="C60" s="21"/>
      <c r="D60" s="21"/>
      <c r="E60" s="21"/>
      <c r="F60" s="21"/>
      <c r="G60" s="21"/>
      <c r="H60" s="21"/>
    </row>
    <row r="61" customFormat="false" ht="15.05" hidden="false" customHeight="false" outlineLevel="0" collapsed="false">
      <c r="A61" s="20"/>
      <c r="B61" s="22" t="s">
        <v>36</v>
      </c>
      <c r="C61" s="22"/>
      <c r="D61" s="22"/>
      <c r="E61" s="22"/>
      <c r="F61" s="22"/>
      <c r="G61" s="22"/>
      <c r="H61" s="22"/>
    </row>
    <row r="62" customFormat="false" ht="15.05" hidden="false" customHeight="false" outlineLevel="0" collapsed="false">
      <c r="A62" s="20"/>
      <c r="B62" s="23" t="s">
        <v>37</v>
      </c>
      <c r="C62" s="23"/>
      <c r="D62" s="23"/>
      <c r="E62" s="23"/>
      <c r="F62" s="23"/>
      <c r="G62" s="23"/>
      <c r="H62" s="23"/>
    </row>
    <row r="63" customFormat="false" ht="12.8" hidden="false" customHeight="false" outlineLevel="0" collapsed="false">
      <c r="B63" s="3"/>
      <c r="C63" s="3"/>
      <c r="D63" s="3"/>
      <c r="E63" s="3"/>
      <c r="F63" s="3"/>
      <c r="G63" s="24"/>
      <c r="H63" s="3"/>
    </row>
    <row r="64" customFormat="false" ht="26.8" hidden="false" customHeight="false" outlineLevel="0" collapsed="false">
      <c r="A64" s="1" t="s">
        <v>38</v>
      </c>
      <c r="B64" s="2" t="s">
        <v>1</v>
      </c>
      <c r="C64" s="2"/>
      <c r="D64" s="2"/>
      <c r="E64" s="2"/>
      <c r="F64" s="3"/>
      <c r="G64" s="4"/>
      <c r="H64" s="5" t="n">
        <v>46180</v>
      </c>
    </row>
    <row r="65" customFormat="false" ht="17.35" hidden="false" customHeight="false" outlineLevel="0" collapsed="false">
      <c r="A65" s="6" t="s">
        <v>2</v>
      </c>
      <c r="B65" s="6" t="s">
        <v>3</v>
      </c>
      <c r="C65" s="6" t="s">
        <v>4</v>
      </c>
      <c r="D65" s="6" t="s">
        <v>5</v>
      </c>
      <c r="E65" s="6" t="s">
        <v>6</v>
      </c>
      <c r="F65" s="6" t="s">
        <v>7</v>
      </c>
      <c r="G65" s="7" t="s">
        <v>8</v>
      </c>
      <c r="H65" s="6" t="s">
        <v>9</v>
      </c>
    </row>
    <row r="66" customFormat="false" ht="17.35" hidden="false" customHeight="false" outlineLevel="0" collapsed="false">
      <c r="A66" s="8" t="s">
        <v>39</v>
      </c>
      <c r="B66" s="6" t="s">
        <v>40</v>
      </c>
      <c r="C66" s="6" t="n">
        <v>113</v>
      </c>
      <c r="D66" s="6" t="n">
        <v>1129</v>
      </c>
      <c r="E66" s="6" t="n">
        <v>3409</v>
      </c>
      <c r="F66" s="9" t="n">
        <v>8.65</v>
      </c>
      <c r="G66" s="7"/>
      <c r="H66" s="6" t="n">
        <f aca="false">F66*E66</f>
        <v>29487.85</v>
      </c>
    </row>
    <row r="67" customFormat="false" ht="17.35" hidden="false" customHeight="false" outlineLevel="0" collapsed="false">
      <c r="A67" s="8" t="s">
        <v>41</v>
      </c>
      <c r="B67" s="6" t="n">
        <v>201</v>
      </c>
      <c r="C67" s="6" t="n">
        <v>50</v>
      </c>
      <c r="D67" s="6" t="n">
        <v>2992</v>
      </c>
      <c r="E67" s="6" t="n">
        <v>2544</v>
      </c>
      <c r="F67" s="6" t="n">
        <v>10.1</v>
      </c>
      <c r="G67" s="7"/>
      <c r="H67" s="6" t="n">
        <f aca="false">F67*E67</f>
        <v>25694.4</v>
      </c>
    </row>
    <row r="68" customFormat="false" ht="17.35" hidden="false" customHeight="false" outlineLevel="0" collapsed="false">
      <c r="A68" s="8" t="s">
        <v>42</v>
      </c>
      <c r="B68" s="6" t="n">
        <v>201</v>
      </c>
      <c r="C68" s="6" t="n">
        <v>88</v>
      </c>
      <c r="D68" s="6" t="n">
        <v>1757</v>
      </c>
      <c r="E68" s="6" t="n">
        <v>2612</v>
      </c>
      <c r="F68" s="6" t="n">
        <v>7.9</v>
      </c>
      <c r="G68" s="7"/>
      <c r="H68" s="6" t="n">
        <f aca="false">F68*E68</f>
        <v>20634.8</v>
      </c>
    </row>
    <row r="69" customFormat="false" ht="17.35" hidden="false" customHeight="false" outlineLevel="0" collapsed="false">
      <c r="A69" s="10" t="s">
        <v>12</v>
      </c>
      <c r="B69" s="9" t="n">
        <v>201</v>
      </c>
      <c r="C69" s="9" t="n">
        <v>66</v>
      </c>
      <c r="D69" s="9" t="n">
        <v>1311</v>
      </c>
      <c r="E69" s="9" t="n">
        <v>1889</v>
      </c>
      <c r="F69" s="6" t="n">
        <v>7.9</v>
      </c>
      <c r="G69" s="7"/>
      <c r="H69" s="6" t="n">
        <v>14923.1</v>
      </c>
    </row>
    <row r="70" customFormat="false" ht="17.35" hidden="false" customHeight="false" outlineLevel="0" collapsed="false">
      <c r="A70" s="8" t="s">
        <v>13</v>
      </c>
      <c r="B70" s="9" t="n">
        <v>201</v>
      </c>
      <c r="C70" s="9" t="n">
        <v>64</v>
      </c>
      <c r="D70" s="9" t="n">
        <v>320</v>
      </c>
      <c r="E70" s="9" t="n">
        <v>2003</v>
      </c>
      <c r="F70" s="6" t="n">
        <v>7.83</v>
      </c>
      <c r="G70" s="7"/>
      <c r="H70" s="6" t="n">
        <v>15683.49</v>
      </c>
    </row>
    <row r="71" customFormat="false" ht="17.35" hidden="false" customHeight="false" outlineLevel="0" collapsed="false">
      <c r="A71" s="10" t="s">
        <v>14</v>
      </c>
      <c r="B71" s="9" t="s">
        <v>43</v>
      </c>
      <c r="C71" s="9" t="n">
        <v>32</v>
      </c>
      <c r="D71" s="9" t="n">
        <v>255</v>
      </c>
      <c r="E71" s="9" t="n">
        <v>1166</v>
      </c>
      <c r="F71" s="6" t="n">
        <v>9.4</v>
      </c>
      <c r="G71" s="7"/>
      <c r="H71" s="6" t="n">
        <v>10960.4</v>
      </c>
    </row>
    <row r="72" customFormat="false" ht="17.35" hidden="false" customHeight="false" outlineLevel="0" collapsed="false">
      <c r="A72" s="11"/>
      <c r="B72" s="12"/>
      <c r="C72" s="12"/>
      <c r="D72" s="12"/>
      <c r="E72" s="12"/>
      <c r="F72" s="12"/>
      <c r="G72" s="13"/>
      <c r="H72" s="6"/>
    </row>
    <row r="73" customFormat="false" ht="17.35" hidden="false" customHeight="false" outlineLevel="0" collapsed="false">
      <c r="A73" s="11"/>
      <c r="B73" s="12"/>
      <c r="C73" s="12"/>
      <c r="D73" s="12"/>
      <c r="E73" s="12"/>
      <c r="F73" s="12"/>
      <c r="G73" s="13"/>
      <c r="H73" s="6"/>
    </row>
    <row r="74" customFormat="false" ht="17.35" hidden="false" customHeight="false" outlineLevel="0" collapsed="false">
      <c r="A74" s="10"/>
      <c r="B74" s="9"/>
      <c r="C74" s="9"/>
      <c r="D74" s="9"/>
      <c r="E74" s="9"/>
      <c r="F74" s="6"/>
      <c r="G74" s="7"/>
      <c r="H74" s="6"/>
    </row>
    <row r="75" customFormat="false" ht="17.35" hidden="false" customHeight="false" outlineLevel="0" collapsed="false">
      <c r="A75" s="10"/>
      <c r="B75" s="9"/>
      <c r="C75" s="9"/>
      <c r="D75" s="9"/>
      <c r="E75" s="9"/>
      <c r="F75" s="9"/>
      <c r="G75" s="14"/>
      <c r="H75" s="9"/>
    </row>
    <row r="76" customFormat="false" ht="17.35" hidden="false" customHeight="false" outlineLevel="0" collapsed="false">
      <c r="A76" s="15" t="s">
        <v>16</v>
      </c>
      <c r="B76" s="16"/>
      <c r="C76" s="16"/>
      <c r="D76" s="16"/>
      <c r="E76" s="16" t="n">
        <v>14406</v>
      </c>
      <c r="F76" s="16"/>
      <c r="G76" s="7"/>
      <c r="H76" s="6"/>
    </row>
    <row r="77" customFormat="false" ht="17.35" hidden="false" customHeight="false" outlineLevel="0" collapsed="false">
      <c r="A77" s="15"/>
      <c r="B77" s="16"/>
      <c r="C77" s="16"/>
      <c r="D77" s="16"/>
      <c r="E77" s="16"/>
      <c r="F77" s="6"/>
      <c r="G77" s="7"/>
      <c r="H77" s="6"/>
    </row>
    <row r="78" customFormat="false" ht="17.35" hidden="false" customHeight="false" outlineLevel="0" collapsed="false">
      <c r="A78" s="17"/>
      <c r="B78" s="18"/>
      <c r="C78" s="18"/>
      <c r="D78" s="18"/>
      <c r="E78" s="18"/>
      <c r="F78" s="6"/>
      <c r="G78" s="7"/>
      <c r="H78" s="6"/>
    </row>
    <row r="79" customFormat="false" ht="17.35" hidden="false" customHeight="false" outlineLevel="0" collapsed="false">
      <c r="A79" s="8"/>
      <c r="B79" s="6"/>
      <c r="C79" s="6"/>
      <c r="D79" s="6"/>
      <c r="E79" s="6"/>
      <c r="F79" s="6"/>
      <c r="G79" s="7"/>
      <c r="H79" s="6"/>
    </row>
    <row r="80" customFormat="false" ht="17.35" hidden="false" customHeight="false" outlineLevel="0" collapsed="false">
      <c r="A80" s="18" t="s">
        <v>17</v>
      </c>
      <c r="B80" s="18"/>
      <c r="C80" s="18" t="n">
        <f aca="false">SUM(C66:C79)</f>
        <v>413</v>
      </c>
      <c r="D80" s="18" t="n">
        <f aca="false">SUM(D66:D79)</f>
        <v>7764</v>
      </c>
      <c r="E80" s="18" t="n">
        <f aca="false">SUM(E66:E79)</f>
        <v>28029</v>
      </c>
      <c r="F80" s="18"/>
      <c r="G80" s="19"/>
      <c r="H80" s="18" t="n">
        <f aca="false">SUM(H66:H79)</f>
        <v>117384.04</v>
      </c>
    </row>
    <row r="81" customFormat="false" ht="15.05" hidden="false" customHeight="true" outlineLevel="0" collapsed="false">
      <c r="A81" s="20" t="s">
        <v>18</v>
      </c>
      <c r="B81" s="21" t="s">
        <v>44</v>
      </c>
      <c r="C81" s="21"/>
      <c r="D81" s="21"/>
      <c r="E81" s="21"/>
      <c r="F81" s="21"/>
      <c r="G81" s="21"/>
      <c r="H81" s="21"/>
    </row>
    <row r="82" customFormat="false" ht="15.05" hidden="false" customHeight="false" outlineLevel="0" collapsed="false">
      <c r="A82" s="20"/>
      <c r="B82" s="22" t="s">
        <v>45</v>
      </c>
      <c r="C82" s="22"/>
      <c r="D82" s="22"/>
      <c r="E82" s="22"/>
      <c r="F82" s="22"/>
      <c r="G82" s="22"/>
      <c r="H82" s="22"/>
    </row>
    <row r="83" customFormat="false" ht="15.05" hidden="false" customHeight="false" outlineLevel="0" collapsed="false">
      <c r="A83" s="20"/>
      <c r="B83" s="23" t="s">
        <v>46</v>
      </c>
      <c r="C83" s="23"/>
      <c r="D83" s="23"/>
      <c r="E83" s="23"/>
      <c r="F83" s="23"/>
      <c r="G83" s="23"/>
      <c r="H83" s="23"/>
    </row>
  </sheetData>
  <mergeCells count="20">
    <mergeCell ref="B1:E1"/>
    <mergeCell ref="A18:A20"/>
    <mergeCell ref="B18:H18"/>
    <mergeCell ref="B19:H19"/>
    <mergeCell ref="B20:H20"/>
    <mergeCell ref="B22:E22"/>
    <mergeCell ref="A39:A41"/>
    <mergeCell ref="B39:H39"/>
    <mergeCell ref="B40:H40"/>
    <mergeCell ref="B41:H41"/>
    <mergeCell ref="B43:E43"/>
    <mergeCell ref="A60:A62"/>
    <mergeCell ref="B60:H60"/>
    <mergeCell ref="B61:H61"/>
    <mergeCell ref="B62:H62"/>
    <mergeCell ref="B64:E64"/>
    <mergeCell ref="A81:A83"/>
    <mergeCell ref="B81:H81"/>
    <mergeCell ref="B82:H82"/>
    <mergeCell ref="B83:H8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2026-06-11T10:43:22Z</dcterms:created>
  <dc:creator/>
  <dc:description/>
  <dc:language>ru-RU</dc:language>
  <cp:lastModifiedBy/>
  <dcterms:modified xsi:type="dcterms:W3CDTF">2026-06-11T10:44:03Z</dcterms:modified>
  <cp:revision>1</cp:revision>
  <dc:subject/>
  <dc:title/>
</cp:coreProperties>
</file>