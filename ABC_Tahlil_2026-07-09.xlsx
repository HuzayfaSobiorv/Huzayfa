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ulosa" sheetId="1" state="visible" r:id="rId3"/>
    <sheet name="Qo'llanma" sheetId="2" state="visible" r:id="rId4"/>
    <sheet name="ТРУБА" sheetId="3" state="visible" r:id="rId5"/>
    <sheet name="ПРОФИЛЬ" sheetId="4" state="visible" r:id="rId6"/>
    <sheet name="ЛИСТ" sheetId="5" state="visible" r:id="rId7"/>
    <sheet name="БАЛАСИНА" sheetId="6" state="visible" r:id="rId8"/>
    <sheet name="СТОЙКА" sheetId="7" state="visible" r:id="rId9"/>
    <sheet name="ЧАШКА" sheetId="8" state="visible" r:id="rId10"/>
    <sheet name="СОККА" sheetId="9" state="visible" r:id="rId11"/>
    <sheet name="ШАР" sheetId="10" state="visible" r:id="rId12"/>
    <sheet name="ОТВОД" sheetId="11" state="visible" r:id="rId13"/>
    <sheet name="КУЗИКОРИН" sheetId="12" state="visible" r:id="rId14"/>
    <sheet name="СОВУН" sheetId="13" state="visible" r:id="rId15"/>
    <sheet name="БОШҚА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<sst xmlns="http://schemas.openxmlformats.org/spreadsheetml/2006/main" count="1982" uniqueCount="1522">
  <si>
    <t xml:space="preserve">Kategoriya</t>
  </si>
  <si>
    <t xml:space="preserve">Jami tovar</t>
  </si>
  <si>
    <t xml:space="preserve">Tarix bilan</t>
  </si>
  <si>
    <t xml:space="preserve">Tarixsiz</t>
  </si>
  <si>
    <t xml:space="preserve">Oylik dona (jami)</t>
  </si>
  <si>
    <t xml:space="preserve">ТРУБА</t>
  </si>
  <si>
    <t xml:space="preserve">ПРОФИЛЬ</t>
  </si>
  <si>
    <t xml:space="preserve">ЛИСТ</t>
  </si>
  <si>
    <t xml:space="preserve">БАЛАСИНА</t>
  </si>
  <si>
    <t xml:space="preserve">СТОЙКА</t>
  </si>
  <si>
    <t xml:space="preserve">ЧАШКА</t>
  </si>
  <si>
    <t xml:space="preserve">СОККА</t>
  </si>
  <si>
    <t xml:space="preserve">ШАР</t>
  </si>
  <si>
    <t xml:space="preserve">ОТВОД</t>
  </si>
  <si>
    <t xml:space="preserve">КУЗИКОРИН</t>
  </si>
  <si>
    <t xml:space="preserve">СОВУН</t>
  </si>
  <si>
    <t xml:space="preserve">БОШҚА</t>
  </si>
  <si>
    <t xml:space="preserve">NEJAVIYKA — ABC tahlil (qayta tuzilgan), 2026-07-09</t>
  </si>
  <si>
    <t xml:space="preserve">Manba: Tarix/ papkasidagi 112 ta kunlik qoldiq fayli (19.03.2026 — 08.07.2026, ~3.7 oy).</t>
  </si>
  <si>
    <t xml:space="preserve">Usul: har kuni kamaygan qoldiq = sotuv deb hisoblandi (yuk kelib oshgan kunlar hisobga olinmadi).</t>
  </si>
  <si>
    <t xml:space="preserve">Jami sotuv shu davr uchun yig'ilib, 30 kunga (oylik) o'girildi -&gt; 'Oylik dona' ustuni.</t>
  </si>
  <si>
    <t xml:space="preserve">Har bir kategoriya ICHIDA tovarlar Oylik dona bo'yicha kamayish tartibida saralandi.</t>
  </si>
  <si>
    <t xml:space="preserve">Kumulyativ % ustuni yuqoridan pastga qarab yig'ilgan foizni ko'rsatadi.</t>
  </si>
  <si>
    <t xml:space="preserve">ABC qoidasi (D ustunidagi formula orqali, o'zgartirish mumkin):</t>
  </si>
  <si>
    <t xml:space="preserve">  A = kumulyativ 70% gacha  |  B = 70-90% oralig'i  |  C = 90% dan yuqorisi</t>
  </si>
  <si>
    <t xml:space="preserve">'Tarix yo'q' = shu 3.7 oy ichida birorta ham kamayish qayd etilmagan (yangi tovar yoki harakatsiz zaxira).</t>
  </si>
  <si>
    <t xml:space="preserve">Bu fayl statik (bir martalik hisobot) — botga hali ulanmagan. Ko'rib chiqib tasdiqlasangiz, shu mantiqni</t>
  </si>
  <si>
    <t xml:space="preserve">botning o'zi har safar avtomatik qayta hisoblaydigan qilib ulaymiz.</t>
  </si>
  <si>
    <t xml:space="preserve">№</t>
  </si>
  <si>
    <t xml:space="preserve">Tovar nomi</t>
  </si>
  <si>
    <t xml:space="preserve">Oylik dona</t>
  </si>
  <si>
    <t xml:space="preserve">Ulush %</t>
  </si>
  <si>
    <t xml:space="preserve">Kumulyativ %</t>
  </si>
  <si>
    <t xml:space="preserve">ABC</t>
  </si>
  <si>
    <t xml:space="preserve">Joriy qoldiq</t>
  </si>
  <si>
    <t xml:space="preserve">Мин_Захира</t>
  </si>
  <si>
    <t xml:space="preserve">Ф-51 ст 0,9 (5,8 м) (201 марка)</t>
  </si>
  <si>
    <t xml:space="preserve">Ф-16 ст 0,7 (5,8 м) (201 марка)</t>
  </si>
  <si>
    <t xml:space="preserve">Ф-19 ст 0,6 (5,6 м) (201 марка)</t>
  </si>
  <si>
    <t xml:space="preserve">Ф-16 ст 0,7 (6 м) (201 марка)</t>
  </si>
  <si>
    <t xml:space="preserve">Ф-51 ст 0,9 (6 м) (201 марка)</t>
  </si>
  <si>
    <t xml:space="preserve">(Аркон) Ф-25 ст 0,7 (6 м) (201 марка)</t>
  </si>
  <si>
    <t xml:space="preserve">Ф-19 ст 0,7 (6 м) (201 марка)</t>
  </si>
  <si>
    <t xml:space="preserve">Ф-25 ст 0,9 (5,8 м) (201 марка)</t>
  </si>
  <si>
    <t xml:space="preserve">Ф-19 ст 0,9 (5,8 м) (201 марка)</t>
  </si>
  <si>
    <t xml:space="preserve">Ф-19 ст 0,7 (5,8 м) (201 марка)</t>
  </si>
  <si>
    <t xml:space="preserve">(Голд) Ф-19 ст 0,6 (6 м) (201 марка)</t>
  </si>
  <si>
    <t xml:space="preserve">(Кора) Ф-19 ст 0,6 (5,6 м) (201 марка)</t>
  </si>
  <si>
    <t xml:space="preserve">(Аркон) Ф-25 ст 0,7 (5,8 м) (201 марка)</t>
  </si>
  <si>
    <t xml:space="preserve">(Аркон) Ф-19 ст 0,6 (5,6 м) (201 марка)</t>
  </si>
  <si>
    <t xml:space="preserve">Ф-38 ст 0,9 (6 м) (201 марка)</t>
  </si>
  <si>
    <t xml:space="preserve">(Аркон) Ф-19 ст 0,7 (6 м) (201 марка)</t>
  </si>
  <si>
    <t xml:space="preserve">Ф-19 ст 0,6 (5,8 м) (201 марка)</t>
  </si>
  <si>
    <t xml:space="preserve">Ф-9,5 ст 0,8 (5,8 м) (201 марка)</t>
  </si>
  <si>
    <t xml:space="preserve">Ф-16 ст 0,9 (5,8 м) (201 марка)</t>
  </si>
  <si>
    <t xml:space="preserve">Ф-38 ст 0,9 (5,8 м) (201 марка)</t>
  </si>
  <si>
    <t xml:space="preserve">Ф-25 ст 1,1 (5,8 м) (201 марка)</t>
  </si>
  <si>
    <t xml:space="preserve">Ф-13 ст 0,8 (5,8 м) (201 марка)</t>
  </si>
  <si>
    <t xml:space="preserve">Ф-9,5 ст 0,7 (6 м) (201 марка)</t>
  </si>
  <si>
    <t xml:space="preserve">Ф-25 ст 1,4 (6 м) (201 марка) </t>
  </si>
  <si>
    <t xml:space="preserve">Ф-32 ст 0,9 (5,8 м) (201 марка)</t>
  </si>
  <si>
    <t xml:space="preserve">Ф-38 ст 1,5 (6 м) (304 марка)</t>
  </si>
  <si>
    <t xml:space="preserve">Ф-51 ст 0,7 (5,8 м) (201 марка)</t>
  </si>
  <si>
    <t xml:space="preserve">(Голд. Аркон) Ф-19 ст 0,7 (5,8 м) (201 марка)</t>
  </si>
  <si>
    <t xml:space="preserve">Ф-22 ст 1,4 (6 м) (304 марка)</t>
  </si>
  <si>
    <t xml:space="preserve">Ф-38 ст 1,2 (6 м) (201 марка)</t>
  </si>
  <si>
    <t xml:space="preserve">Ф-25 ст 0,7 (5,8 м) (201 марка)</t>
  </si>
  <si>
    <t xml:space="preserve">Ф-9,5 ст 0,6 (6 м) (201 марка)</t>
  </si>
  <si>
    <t xml:space="preserve">(Аркон) Ф-25 ст 0,7 (5,4 м) (201 марка)</t>
  </si>
  <si>
    <t xml:space="preserve">Ф-19 ст 1,1 (6 м) (304 марка)</t>
  </si>
  <si>
    <t xml:space="preserve">Ф-51 ст 1,4 (6 м) (201 марка)</t>
  </si>
  <si>
    <t xml:space="preserve">Ф-16 ст 0,31 (6 м) (201 марка)</t>
  </si>
  <si>
    <t xml:space="preserve">(Голд) Ф-16 ст 0,6 (5,6 м) (201 марка)</t>
  </si>
  <si>
    <t xml:space="preserve">Ф-51 ст 1,1 (6 м) (201 марка)</t>
  </si>
  <si>
    <t xml:space="preserve">Ф-51 ст 1,1 (6 м) (304 марка) </t>
  </si>
  <si>
    <t xml:space="preserve">Ф-25 ст 1,5 (6 м) (304 марка)</t>
  </si>
  <si>
    <t xml:space="preserve">Ф-38 ст 1,4 (6 м) (304 марка)</t>
  </si>
  <si>
    <t xml:space="preserve">Ф-25 ст 0,9 (6 м) (304 марка)</t>
  </si>
  <si>
    <t xml:space="preserve">(Голд. Аркон) Ф-19 ст 0,6 (6 м) (201 марка)</t>
  </si>
  <si>
    <t xml:space="preserve">Ф-22 ст 1,5 (6 м) (304 марка)</t>
  </si>
  <si>
    <t xml:space="preserve">Ф-51 ст 0,7 (6 м) (201 марка)</t>
  </si>
  <si>
    <t xml:space="preserve">Ф-32 ст 0,9 (6 м) (201 марка)</t>
  </si>
  <si>
    <t xml:space="preserve">Ф-32 ст 1,5 (6 м) (304 марка)</t>
  </si>
  <si>
    <t xml:space="preserve">(Голд. Аркон) Ф-25 ст 0,7 (5,8 м) (201 марка)</t>
  </si>
  <si>
    <t xml:space="preserve">Ф-25 ст 1,2 (6 м) (201 марка)</t>
  </si>
  <si>
    <t xml:space="preserve">Ф-38 ст 1,4 (6 м) (201 марка)</t>
  </si>
  <si>
    <t xml:space="preserve">Ф-63 ст 1,1 (6 м) (201 марка)</t>
  </si>
  <si>
    <t xml:space="preserve">Ф-22 ст 0,9 (5,8 м) (201 марка)</t>
  </si>
  <si>
    <t xml:space="preserve">(Голд) Ф-16 ст 0,7 (6 м) (201 марка)</t>
  </si>
  <si>
    <t xml:space="preserve">Ф-19 ст 0,9 (6 м) (201 марка)</t>
  </si>
  <si>
    <t xml:space="preserve">Ф-51 ст 2,0 (6 м) (304 марка) </t>
  </si>
  <si>
    <t xml:space="preserve">(Аркон) Ф-25 ст 0,4 (5,8 м) (201 марка)</t>
  </si>
  <si>
    <t xml:space="preserve">(Голд. Аркон) Ф-16 ст 0,7 (6 м) (201 марка) </t>
  </si>
  <si>
    <t xml:space="preserve">Ф-102 ст 1,8  (6 м) (304марка) </t>
  </si>
  <si>
    <t xml:space="preserve">Ф-32 ст 1,4 (6 м) (304 марка)</t>
  </si>
  <si>
    <t xml:space="preserve">Ф-32 ст 2,4 (6 м) (304 марка)</t>
  </si>
  <si>
    <t xml:space="preserve">Ф-13 ст 0,6 (6 м) (201 марка) (Ж-1)</t>
  </si>
  <si>
    <t xml:space="preserve">Ф-25 ст 1,4 (6 м) (304 марка)</t>
  </si>
  <si>
    <t xml:space="preserve">Ф-22 ст 0,9 (6 м) (201 марка)</t>
  </si>
  <si>
    <t xml:space="preserve">Ф-25 ст 3,0 Бесшовный (6 м) (304 марка) </t>
  </si>
  <si>
    <t xml:space="preserve">(Голд. Аркон) Ф-19 ст 0,7 (6 м) (201 марка)</t>
  </si>
  <si>
    <t xml:space="preserve">Ф-9,5 ст 0,31 (6 м) (201 марка)</t>
  </si>
  <si>
    <t xml:space="preserve">Ф-25 ст 2,0 (6 м) (304 марка)</t>
  </si>
  <si>
    <t xml:space="preserve">Ф-63 ст 1,2 (6 м) (201 марка)</t>
  </si>
  <si>
    <t xml:space="preserve">Ф-51 ст 1,8 (6м) (304 марка) </t>
  </si>
  <si>
    <t xml:space="preserve">Ф-76 ст 1,1 (6 м) (201 марка)</t>
  </si>
  <si>
    <t xml:space="preserve">Ф-19 ст 0,9 (6 м) (304 марка)</t>
  </si>
  <si>
    <t xml:space="preserve">Ф-51 ст 1,5 (6 м) (201 марка) </t>
  </si>
  <si>
    <t xml:space="preserve">(Голд) Ф-19 ст 0,6 (5,6 м) (201 марка)</t>
  </si>
  <si>
    <t xml:space="preserve">Ф-32 ст 1,2 (6 м) (201 марка)</t>
  </si>
  <si>
    <t xml:space="preserve">Ф-89 ст 1,8 (6 м) (304 марка)</t>
  </si>
  <si>
    <t xml:space="preserve">Ф-22 ст 1,1 (6 м) (201 марка) </t>
  </si>
  <si>
    <t xml:space="preserve">Ф-32 ст 2,0 (6 м) (304 марка)</t>
  </si>
  <si>
    <t xml:space="preserve">Ф-51 ст 0,9 (6м) (304 марка) </t>
  </si>
  <si>
    <t xml:space="preserve">Ф-25 ст 1,0 (5,8 м) (201 марка)</t>
  </si>
  <si>
    <t xml:space="preserve">Ф-13 ст 0,9 (6 м) (201 марка)</t>
  </si>
  <si>
    <t xml:space="preserve">Ф-63 ст 0,9 (5,8 м) (201 марка)</t>
  </si>
  <si>
    <t xml:space="preserve">Ф-76 ст 1,5 (6 м) (304 марка)</t>
  </si>
  <si>
    <t xml:space="preserve">Ф-51 ст 3,0 Бесшовный (6 м) (304 марка)  </t>
  </si>
  <si>
    <t xml:space="preserve">Ф-38 ст 1,1 (6 м) (201 марка)</t>
  </si>
  <si>
    <t xml:space="preserve">Ф-32 ст 1,1 (6 м) (201 марка)</t>
  </si>
  <si>
    <t xml:space="preserve">Ф-76 ст 1,4 (5,8 м) (201 марка)</t>
  </si>
  <si>
    <t xml:space="preserve">Ф-32 ст 1,4 (6 м) (201 марка)</t>
  </si>
  <si>
    <t xml:space="preserve">(Голд) Ф-16 ст 0,6 (6 м) (201 марка)</t>
  </si>
  <si>
    <t xml:space="preserve">Ф-63 ст 0,9 (6 м) (201 марка)</t>
  </si>
  <si>
    <t xml:space="preserve">Ф-38 ст 1,35 (6 м) (304 марка)</t>
  </si>
  <si>
    <t xml:space="preserve">(Голд) Ф-19 ст 0,7 (6 м) (201 марка)</t>
  </si>
  <si>
    <t xml:space="preserve">Ф-25 ст 1,1 (6 м) (304 марка)</t>
  </si>
  <si>
    <t xml:space="preserve">Ф-76 ст 1,1 (5,8 м) (201 марка)</t>
  </si>
  <si>
    <t xml:space="preserve">(Голд) Ф-51 ст 0,9 (5,8 м) (201 марка)</t>
  </si>
  <si>
    <t xml:space="preserve">Ф-32 ст 0,8 (6 м) (201 марка)</t>
  </si>
  <si>
    <t xml:space="preserve">Ф-89 ст 1,5 (6 м) (201 марка) </t>
  </si>
  <si>
    <t xml:space="preserve">(Голд) Ф-51 ст 0,9 (6 м) (201 марка)</t>
  </si>
  <si>
    <t xml:space="preserve">Ф-32 ст 0,7 (6 м) (201 марка)</t>
  </si>
  <si>
    <t xml:space="preserve">(Аркон) Ф-16 ст 0,7 (6 м) (201 марка)</t>
  </si>
  <si>
    <t xml:space="preserve">Ф-63 ст 1,4 (6 м) (201 марка)</t>
  </si>
  <si>
    <t xml:space="preserve">(Янги) Ф-25 ст 0,6 (6 м) </t>
  </si>
  <si>
    <t xml:space="preserve">Ф-76 ст 2,8 (6 м) (304 марка)</t>
  </si>
  <si>
    <t xml:space="preserve">Ф-13 ст 0,9 (6 м) (201 марка) (Ж-1)</t>
  </si>
  <si>
    <t xml:space="preserve">Ф-51 ст 0,8 (6 м) (201 марка)</t>
  </si>
  <si>
    <t xml:space="preserve">Ф-89 ст 3,0 Бесшовный (6 м) (304 марка)  </t>
  </si>
  <si>
    <t xml:space="preserve">Ф-76 ст 1,4 (6 м) (201 марка)</t>
  </si>
  <si>
    <t xml:space="preserve">(Голд. Аркон) Ф-25 ст 0,7 (6 м) (201 марка)</t>
  </si>
  <si>
    <t xml:space="preserve">Ф-25 ст 1,8 (6 м) (304 марка)</t>
  </si>
  <si>
    <t xml:space="preserve">Ф-63 ст 1,8 (6 м) (304 марка)</t>
  </si>
  <si>
    <t xml:space="preserve">Ф-102 ст 1,9 (6 м) (304 марка)</t>
  </si>
  <si>
    <t xml:space="preserve">Ф-159 ст 3,5 Бесшовный (6 м) (304 марка)</t>
  </si>
  <si>
    <t xml:space="preserve">(Янги) Ф-25 ст 0,4 (6 м) </t>
  </si>
  <si>
    <t xml:space="preserve">Ф-38 ст 2,0 (6 м) (304 марка)</t>
  </si>
  <si>
    <t xml:space="preserve">Ф-63 ст 1,4 (6 м) (304 марка)</t>
  </si>
  <si>
    <t xml:space="preserve">Ф-102 ст 1,5 (6 м) (201 марка)</t>
  </si>
  <si>
    <t xml:space="preserve">(Аркон) Ф-51 ст 0,9 (6 м) (201 марка)</t>
  </si>
  <si>
    <t xml:space="preserve">Ф-38 ст 2,4 (5,8 м) (304 марка)</t>
  </si>
  <si>
    <t xml:space="preserve">Ф-102 ст 1,4 (6 м) (304 марка)</t>
  </si>
  <si>
    <t xml:space="preserve">Ф-159 ст 2,4 (6м) (304 марка) </t>
  </si>
  <si>
    <t xml:space="preserve">(Голд) Ф-25 ст 0,9 (6 м) (201 марка)</t>
  </si>
  <si>
    <t xml:space="preserve">Ф-76 ст 1,4 (6 м) (304 марка)</t>
  </si>
  <si>
    <t xml:space="preserve">(Аркон) Ф-25 ст 0,6 (6 м) (201 марка)</t>
  </si>
  <si>
    <t xml:space="preserve">Ф-89 ст 1,4 (6 м) (201 марка)</t>
  </si>
  <si>
    <t xml:space="preserve">Ф-22 ст 2,4 (6 м) (304 марка)</t>
  </si>
  <si>
    <t xml:space="preserve">Ф-108 ст 3,5 Бесшовный (6 м) (304 марка) </t>
  </si>
  <si>
    <t xml:space="preserve">Ф-76 ст 1,8 (6 м) (201 марка)</t>
  </si>
  <si>
    <t xml:space="preserve">Ф-51 ст 1,5 (6 м) (304 марка) </t>
  </si>
  <si>
    <t xml:space="preserve">Ф-76 ст 1,2 (6 м) (201 марка)</t>
  </si>
  <si>
    <t xml:space="preserve">Ф-16 ст 0,9 (6 м) (201 марка)</t>
  </si>
  <si>
    <t xml:space="preserve">Ф-32 ст 3,0 Бесшовный (6 м) (304 марка) </t>
  </si>
  <si>
    <t xml:space="preserve">Ф-76 ст 1,8 (5,8 м) (304 марка)</t>
  </si>
  <si>
    <t xml:space="preserve">Ф-42,4 ст 1,1 (6 м) (201 марка)</t>
  </si>
  <si>
    <t xml:space="preserve">Ф-76 ст 0,9 (6 м) (201 марка)</t>
  </si>
  <si>
    <t xml:space="preserve">Ф-25 ст 2,4 (5,8 м) (304 марка)</t>
  </si>
  <si>
    <t xml:space="preserve">Ф-76 ст 1,8 (6 м) (304 марка)</t>
  </si>
  <si>
    <t xml:space="preserve">Ф-159 ст 1,9 (6 м) (304 марка)</t>
  </si>
  <si>
    <t xml:space="preserve">Ф-89 ст 1,5 (6 м) (304 марка)</t>
  </si>
  <si>
    <t xml:space="preserve">Ф-42 ст 3,0 Бесшовный (6 м) (304 марка)</t>
  </si>
  <si>
    <t xml:space="preserve">Ф-127 ст 2,4 (6 м) (201 марка)</t>
  </si>
  <si>
    <t xml:space="preserve">Ф-89 ст 2,0 (6 м) (304 марка)</t>
  </si>
  <si>
    <t xml:space="preserve">Ф-38 ст 3,0 Бесшовный (6 м) (304 марка)  </t>
  </si>
  <si>
    <t xml:space="preserve">Ф-102 ст 1,4 (6 м) (201 марка)</t>
  </si>
  <si>
    <t xml:space="preserve">Ф-76 ст 3,0 Бесшовный (6 м) (304 марка) </t>
  </si>
  <si>
    <t xml:space="preserve">Ф-159 ст 2,0 (6 м) (304 марка)</t>
  </si>
  <si>
    <t xml:space="preserve">Ф-63 ст 3,0 Бесшовный (6 м) (304 марка)</t>
  </si>
  <si>
    <t xml:space="preserve">Ф-219 ст 2,4 (6м) (304 марка) </t>
  </si>
  <si>
    <t xml:space="preserve">(Голд) Ф-32 ст 0,9 (6 м) (201 марка)</t>
  </si>
  <si>
    <t xml:space="preserve">Ф-127 ст 3,0 Бесшовный (6 м) (304 марка) </t>
  </si>
  <si>
    <t xml:space="preserve">Ф-76 ст 1,5 (6 м) (201 марка)</t>
  </si>
  <si>
    <t xml:space="preserve">Ф-102 ст 1,8 (6 м) (201 марка)</t>
  </si>
  <si>
    <t xml:space="preserve">Ф-48 ст 1,4 (6 м) (201 марка)</t>
  </si>
  <si>
    <t xml:space="preserve">Ф-219 ст 3,0 (6м) (304 марка) </t>
  </si>
  <si>
    <t xml:space="preserve">(Аркон) Ф-19 ст 0,6 (6 м) (201 марка)</t>
  </si>
  <si>
    <t xml:space="preserve">Ф-32 ст 2,8 (6 м) (201 марка)</t>
  </si>
  <si>
    <t xml:space="preserve">Ф-102 ст 3,0 Бесшовный (6 м) (304 марка) </t>
  </si>
  <si>
    <t xml:space="preserve">Ф-89 ст 1,4 (6 м) (304 марка)</t>
  </si>
  <si>
    <t xml:space="preserve">(Голд) Ф-38 ст 0,9 (6 м) (201 марка)</t>
  </si>
  <si>
    <t xml:space="preserve">(Кора) Ф-51 ст 0,9 (6 м) (201 марка) </t>
  </si>
  <si>
    <t xml:space="preserve">(Кора. Аркон) Ф-25 ст 0,7 (5,8 м) (201 марка)</t>
  </si>
  <si>
    <t xml:space="preserve">(Аркон) Ф-16 ст 0,6 (6 м) (201 марка)</t>
  </si>
  <si>
    <t xml:space="preserve">Tarix yo'q</t>
  </si>
  <si>
    <t xml:space="preserve">(Аркон) Ф-25 ст 0,5 (6 м) (201 марка)</t>
  </si>
  <si>
    <t xml:space="preserve">(Аркон) Ф-25 ст 0,9 (6 м) (201 марка)</t>
  </si>
  <si>
    <t xml:space="preserve">(Голд. Аркон) Ф-16 ст 0,6 (6 м) (201 марка)</t>
  </si>
  <si>
    <t xml:space="preserve">(Кора) Ф-16 ст 0,6 (5,6 м) (201 марка)</t>
  </si>
  <si>
    <t xml:space="preserve">(Кора) Ф-16 ст 0,7 (6 м) (201 марка) </t>
  </si>
  <si>
    <t xml:space="preserve">(Кора) Ф-19 ст 0,6 (6 м) (201 марка) </t>
  </si>
  <si>
    <t xml:space="preserve">(Кора) Ф-19 ст 0,7 (6 м) (201 марка) </t>
  </si>
  <si>
    <t xml:space="preserve">(Янги) Ф-51 ст 0,85 (6 м) </t>
  </si>
  <si>
    <t xml:space="preserve">Ф-114 ст 1,8 (6 м) (201 марка)</t>
  </si>
  <si>
    <t xml:space="preserve">Ф-114 ст 2,0 (6 м) (201 марка)</t>
  </si>
  <si>
    <t xml:space="preserve">Ф-127 ст 3,5 Бесшовный (6 м) (304 марка) </t>
  </si>
  <si>
    <t xml:space="preserve">Ф-13 ст 0,31 (6 м) (201 марка)</t>
  </si>
  <si>
    <t xml:space="preserve">Ф-133 ст 4,0 Бесшовный (6 м) (304 марка)</t>
  </si>
  <si>
    <t xml:space="preserve">Ф-159 ст 3,0 Бесшовный (6 м) (304 марка)</t>
  </si>
  <si>
    <t xml:space="preserve">Ф-22 ст 1,4 (5,8 м) (201 марка)</t>
  </si>
  <si>
    <t xml:space="preserve">Ф-22 ст 1,4 (6 м) (201 марка)</t>
  </si>
  <si>
    <t xml:space="preserve">Ф-32 ст 2,4 (5,8 м) (304 марка)</t>
  </si>
  <si>
    <t xml:space="preserve">Ф-38 ст 0,8 (6 м) (201 марка)</t>
  </si>
  <si>
    <t xml:space="preserve">Ф-38 ст 3,5 Бесшовный (6 м) (304 марка)  </t>
  </si>
  <si>
    <t xml:space="preserve">Ф-51 ст 1,1 (5,8 м) (201 марка)</t>
  </si>
  <si>
    <t xml:space="preserve">Ф-76 ст 1,9 (6 м) (304 марка)</t>
  </si>
  <si>
    <t xml:space="preserve">Ф-76 ст 2,0 (6 м) (304 марка)</t>
  </si>
  <si>
    <t xml:space="preserve">Ф-76 ст 2,8 (6 м) (201 марка)</t>
  </si>
  <si>
    <t xml:space="preserve">Ф-89 ст 1,8 (6 м) (201 марка)</t>
  </si>
  <si>
    <t xml:space="preserve">Ф-89 ст 1,9 (6 м) (304 марка)</t>
  </si>
  <si>
    <t xml:space="preserve">Ф-9,5 ст 0,28 (5,5 м) (201 марка)</t>
  </si>
  <si>
    <t xml:space="preserve">Пр. 25х25 ст 0,9 (5,8 м) (201 марка) </t>
  </si>
  <si>
    <t xml:space="preserve">Пр. 25х25 ст 0,9 (6 м) (201 марка)</t>
  </si>
  <si>
    <t xml:space="preserve">Пр. 20х10 ст 0,7 (5,8 м) (201 марка) </t>
  </si>
  <si>
    <t xml:space="preserve">Пр. 25х25 ст 0,9 (5,8 м) (201 марка) (Ж-1)</t>
  </si>
  <si>
    <t xml:space="preserve">Пр. 20х20 ст 0,9 (5,8 м) (201 марка) (Ж-1)</t>
  </si>
  <si>
    <t xml:space="preserve">Пр. 25х25 ст 0,7 (5,8 м) (201 марка)</t>
  </si>
  <si>
    <t xml:space="preserve">Пр. 20х10 ст 0,7 (6 м) (201 марка)</t>
  </si>
  <si>
    <t xml:space="preserve">Пр. 20х20 ст 0,7 (5,6 м) (201 марка)</t>
  </si>
  <si>
    <t xml:space="preserve">(Голд) Пр. 20х20 ст 0,7 (5,6 м) (201 марка)</t>
  </si>
  <si>
    <t xml:space="preserve">Пр. 30х30 ст 0,9 (6 м) (201 марка)</t>
  </si>
  <si>
    <t xml:space="preserve">(Голд) Пр. 20х20 ст 0,7 (6 м) (201 марка)</t>
  </si>
  <si>
    <t xml:space="preserve">Пр. 40х40 ст 0,9 (6 м) (201 марка)</t>
  </si>
  <si>
    <t xml:space="preserve">Пр. 25х25 ст 0,7 (6 м) (201 марка)</t>
  </si>
  <si>
    <t xml:space="preserve">Пр. 30х10 ст 1,1 (6 м) (201 марка) (Ж-1)</t>
  </si>
  <si>
    <t xml:space="preserve">(Ярим овал) Пр. 30х15 ст 1,1 (6 м) (201 марка)</t>
  </si>
  <si>
    <t xml:space="preserve">Пр. 50х50 ст 0,9 (6 м) (201 марка)</t>
  </si>
  <si>
    <t xml:space="preserve">Пр. 30х10 ст 1,1 (5,8 м) (201 марка) (Ж-1)</t>
  </si>
  <si>
    <t xml:space="preserve">Пр. 20х20 ст 0,9 (6 м) (201 марка) (Ж-1)</t>
  </si>
  <si>
    <t xml:space="preserve">Пр. 50х50 ст 0,9 (5,8 м) (201 марка)</t>
  </si>
  <si>
    <t xml:space="preserve">Пр. 30х30 ст 0,9 (5,8 м) (201 марка) (Ж-1)</t>
  </si>
  <si>
    <t xml:space="preserve">Пр. 15х15 ст 0,9 (6 м) (201 марка) (Ж-1)</t>
  </si>
  <si>
    <t xml:space="preserve">(Голд) Пр. 25х25 ст 0,9 (5,8 м) (201 марка)</t>
  </si>
  <si>
    <t xml:space="preserve">Пр. 40х20 ст 0,9 (5,8 м) (201 марка)</t>
  </si>
  <si>
    <t xml:space="preserve">Пр. 30х30 ст 0,9 (5,8 м) (201 марка)</t>
  </si>
  <si>
    <t xml:space="preserve">(Голд) Пр. 25х25 ст 0,9 (6 м) (201 марка)</t>
  </si>
  <si>
    <t xml:space="preserve">Пр. 20х10 ст 0,9 (5,8 м) (201 марка) </t>
  </si>
  <si>
    <t xml:space="preserve">Пр. 40х20 ст 0,7 (5,8 м) (201 марка)</t>
  </si>
  <si>
    <t xml:space="preserve">Пр. 40х40 ст 0,9 (5,8 м) (201 марка)</t>
  </si>
  <si>
    <t xml:space="preserve">Пр. 40х20 ст 0,9 (6 м) (201 марка)</t>
  </si>
  <si>
    <t xml:space="preserve">Пр. 15х15 ст 0,7 (5.8 м) (201 марка)</t>
  </si>
  <si>
    <t xml:space="preserve">Пр. 38х38 ст 0,9 (5,8 м) (201 марка)</t>
  </si>
  <si>
    <t xml:space="preserve">(Гулли) Пр. 25х25 ст 0,9 (6 м) (201 марка)</t>
  </si>
  <si>
    <t xml:space="preserve">Пр. 50х25 ст 0,9 (5,8 м) (201 марка)</t>
  </si>
  <si>
    <t xml:space="preserve">Пр. 38х38 ст 0,9 (6 м) (201 марка)</t>
  </si>
  <si>
    <t xml:space="preserve">Пр. 100х100 ст 1,1 (5,8 м) (201 марка)</t>
  </si>
  <si>
    <t xml:space="preserve">(Голд) Пр. 40х40 ст 0,9 (6 м) (201 марка)</t>
  </si>
  <si>
    <t xml:space="preserve">(Голд) Пр. 50х50 ст 0,9 (6 м) (201 марка)</t>
  </si>
  <si>
    <t xml:space="preserve">Пр. 30х30 ст 1,1 (6 м) (201 марка)</t>
  </si>
  <si>
    <t xml:space="preserve">(Голд) Пр. 40х20 ст 0,8 (5,8 м) (201 марка)</t>
  </si>
  <si>
    <t xml:space="preserve">Пр. 25х25 ст 1,2 (6 м) (201 марка)</t>
  </si>
  <si>
    <t xml:space="preserve">Пр. 25х13 ст 0,7 (5,8 м) (201 марка)</t>
  </si>
  <si>
    <t xml:space="preserve">Пр. 50х50 ст 1,1 (6 м) (304 марка)</t>
  </si>
  <si>
    <t xml:space="preserve">Пр. 30х20 ст 0,9 (6 м) (201 марка)</t>
  </si>
  <si>
    <t xml:space="preserve">Пр. 30х30 ст 0,8 (6 м) (201 марка)</t>
  </si>
  <si>
    <t xml:space="preserve">Пр. 38х38 ст 1,1 (6 м) (201 марка)</t>
  </si>
  <si>
    <t xml:space="preserve">Пр. 20х20 ст 0,7 (6 м) (201 марка)</t>
  </si>
  <si>
    <t xml:space="preserve">Пр. 40х20 ст 0,7 (6 м) (201 марка)</t>
  </si>
  <si>
    <t xml:space="preserve">Пр. 30х20 ст 0,8 (6 м) (201 марка)</t>
  </si>
  <si>
    <t xml:space="preserve">Пр. 25х25 ст 1,2 (5,8 м) (201 марка)</t>
  </si>
  <si>
    <t xml:space="preserve">Пр. 40х40 ст 1,4 (6 м) (201 марка)</t>
  </si>
  <si>
    <t xml:space="preserve">Пр. 50х50 ст 1,1 (6 м) (201 марка)</t>
  </si>
  <si>
    <t xml:space="preserve">Пр. 30х15 ст 0,9 (5,8 м) (201 марка)</t>
  </si>
  <si>
    <t xml:space="preserve">Пр. 30х10 ст 0,9 (6 м) (201 марка) (Ж-1)</t>
  </si>
  <si>
    <t xml:space="preserve">Пр. 25х25 ст 1,4 (6 м) (201 марка)</t>
  </si>
  <si>
    <t xml:space="preserve">Пр. 15х15 ст 1,0 (6 м) (201 марка) (Ж-1)</t>
  </si>
  <si>
    <t xml:space="preserve">Пр. 25х25 ст 1,35 (5,8 м) (201 марка)</t>
  </si>
  <si>
    <t xml:space="preserve">Пр. 100х100 ст 1,1 (6 м) (201 марка)</t>
  </si>
  <si>
    <t xml:space="preserve">Пр. 30х15 ст 0,9 (6 м) (201 марка)</t>
  </si>
  <si>
    <t xml:space="preserve">Пр. 80х80 ст 1,1 (5,8 м) (201 марка)</t>
  </si>
  <si>
    <t xml:space="preserve">Пр. 40х20 ст 1,2 (6 м) (201 марка)</t>
  </si>
  <si>
    <t xml:space="preserve">Пр. 50х25 ст 1,1 (5,8 м) (201 марка)</t>
  </si>
  <si>
    <t xml:space="preserve">Пр. 38х25 ст 0,9 (6 м) (201 марка)</t>
  </si>
  <si>
    <t xml:space="preserve">Пр. 50х25 ст 0,9 (6 м) (201 марка)</t>
  </si>
  <si>
    <t xml:space="preserve">Пр. 25х13 ст 0,7 (6 м) (201 марка)</t>
  </si>
  <si>
    <t xml:space="preserve">Пр. 40х40 ст 0,8 (6 м) (201 марка)</t>
  </si>
  <si>
    <t xml:space="preserve">(Кора) Пр. 25х25 ст 0,9 (6 м) (201 марка)</t>
  </si>
  <si>
    <t xml:space="preserve">(Кора) Пр. 20х20 ст 0,6 (5,6 м) (201 марка)</t>
  </si>
  <si>
    <t xml:space="preserve">Пр. 50х25 ст 1,35 (6 м) (201 марка)</t>
  </si>
  <si>
    <t xml:space="preserve">Пр. 30х30 ст 1,4 (6 м) (304 марка)</t>
  </si>
  <si>
    <t xml:space="preserve">Пр. 40х40 ст 1,1 (6 м) (201 марка)</t>
  </si>
  <si>
    <t xml:space="preserve">Пр. 50х10 ст 1,35 (6 м) (201 марка)</t>
  </si>
  <si>
    <t xml:space="preserve">Пр. 38х38 ст 1,35 (6 м) (201 марка)</t>
  </si>
  <si>
    <t xml:space="preserve">Пр. 50х25 ст 0,7 (5,8 м) (201 марка)</t>
  </si>
  <si>
    <t xml:space="preserve">Пр. 40х40 ст 1,4 (5,8 м) (201 марка)</t>
  </si>
  <si>
    <t xml:space="preserve">(Голд. Гулли) Пр. 50х50 ст 0,9 (6 м) (201 марка)</t>
  </si>
  <si>
    <t xml:space="preserve">Пр. 40х10 ст 0,8 (6 м) (201 марка)</t>
  </si>
  <si>
    <t xml:space="preserve">Пр. 30х15 ст 0,8 (6 м) (201 марка)</t>
  </si>
  <si>
    <t xml:space="preserve">Пр. 40х40 ст 1,1 (5,8 м) (201 марка)</t>
  </si>
  <si>
    <t xml:space="preserve">Пр. 20х10 ст 1,4 (6 м) (304 марка)</t>
  </si>
  <si>
    <t xml:space="preserve">Пр. 80х80 ст 1,5 (6 м) (201 марка)</t>
  </si>
  <si>
    <t xml:space="preserve">Пр. 60х18 ст 0,9 (6 м) (201 марка)</t>
  </si>
  <si>
    <t xml:space="preserve">Пр. 50х50 ст 1,4 (5,8 м) (201 марка)</t>
  </si>
  <si>
    <t xml:space="preserve">Пр. 20х20 ст 1,1 (6 м) (304 марка)</t>
  </si>
  <si>
    <t xml:space="preserve">(Аркон) Пр. 19х19 ст 0,7 (6 м) (201 марка)</t>
  </si>
  <si>
    <t xml:space="preserve">Пр. 25х13 ст 0,9 (5,8 м) (201 марка)</t>
  </si>
  <si>
    <t xml:space="preserve">(Голд) Пр. 15х15 ст 0,7 (5,6 м) (201 марка)</t>
  </si>
  <si>
    <t xml:space="preserve">(Голд) Пр. 15х15 ст 0,7 (6 м) (201 марка)</t>
  </si>
  <si>
    <t xml:space="preserve">Пр. 38х38 ст 1,4 (5,8 м) (201 марка)</t>
  </si>
  <si>
    <t xml:space="preserve">Пр. 60х40 ст 1,1 (6 м) (201 марка)</t>
  </si>
  <si>
    <t xml:space="preserve">(Голд) Пр. 40х20 ст 1,1 (6 м) (201 марка)</t>
  </si>
  <si>
    <t xml:space="preserve">(Голд) Пр. 30х30 ст 0,9 (5,8 м) (201 марка)</t>
  </si>
  <si>
    <t xml:space="preserve">Пр. 80х80 ст 1,35 (6 м) (201 марка)</t>
  </si>
  <si>
    <t xml:space="preserve">(Кора) Пр. 50х50 ст 0,9 (6 м) (201 марка)</t>
  </si>
  <si>
    <t xml:space="preserve">(Кора) Пр. 20х20 ст 0,7 (6 м) (201 марка)</t>
  </si>
  <si>
    <t xml:space="preserve">Пр. 50х50 ст 1,4 (6 м) (201 марка)</t>
  </si>
  <si>
    <t xml:space="preserve">Пр. 50х50 ст 0,8 (6 м) (201 марка)</t>
  </si>
  <si>
    <t xml:space="preserve">Пр. 20х20 ст 0,6 (6 м) (201 марка)</t>
  </si>
  <si>
    <t xml:space="preserve">(Голд) Пр. 30х30 ст 0,9 (6 м) (201 марка)</t>
  </si>
  <si>
    <t xml:space="preserve">Пр. 60х40 ст 0,9 (6 м) (201 марка)</t>
  </si>
  <si>
    <t xml:space="preserve">(Гулли) Пр. 20х20 ст 0,8 (6 м) (201 марка)</t>
  </si>
  <si>
    <t xml:space="preserve">(Голд) Пр. 20х10 ст 0,7 (6 м) (201 марка)</t>
  </si>
  <si>
    <t xml:space="preserve">(Голд. Гулли) Пр. 25х25 ст 0,8 (6 м) (201 марка)</t>
  </si>
  <si>
    <t xml:space="preserve">Пр. 30х30 ст 0,7 (6 м) (201 марка)</t>
  </si>
  <si>
    <t xml:space="preserve">Пр. 30х15 ст 0,7 (6 м) (201 марка)</t>
  </si>
  <si>
    <t xml:space="preserve">Пр. 40х10 ст 1,4 (6 м) (201 марка)</t>
  </si>
  <si>
    <t xml:space="preserve">(Голд) Пр. 20х20 ст 0,9 (6 м) (201 марка)</t>
  </si>
  <si>
    <t xml:space="preserve">(Голд. Аркон) Пр. 19х19 ст 0,9 (6 м) (201 марка)</t>
  </si>
  <si>
    <t xml:space="preserve">Пр. 60х60 ст 1,1 (6 м) (201 марка)</t>
  </si>
  <si>
    <t xml:space="preserve">Пр. 30х15 ст 1,4 (6 м) (304 марка)</t>
  </si>
  <si>
    <t xml:space="preserve">(Голд) (Гармошка) Пр. 50х50 ст 0,9 (5,8 м) (201 марка)</t>
  </si>
  <si>
    <t xml:space="preserve">Пр. 40х40 ст 2,0 (6 м) (201 марка)</t>
  </si>
  <si>
    <t xml:space="preserve">(Кора) Пр. 40х40 ст 0,9 (5,8 м) (201 марка)</t>
  </si>
  <si>
    <t xml:space="preserve">Пр. 30х30 ст 1,2 (6 м) (201 марка)</t>
  </si>
  <si>
    <t xml:space="preserve">(Кора) Пр. 20х10 ст 0,8 (6 м) (201 марка)</t>
  </si>
  <si>
    <t xml:space="preserve">(Голд) Пр. 30х30 ст 0,8 (6 м) (201 марка)</t>
  </si>
  <si>
    <t xml:space="preserve">Пр. 100х50 ст 1,35 (5,8 м) (201 марка)</t>
  </si>
  <si>
    <t xml:space="preserve">(Голд.) Пр. 100х100 ст 1,1 (5,8 м) (201 марка)</t>
  </si>
  <si>
    <t xml:space="preserve">Пр. 60х40 ст 1,9 (6 м) (304 марка)</t>
  </si>
  <si>
    <t xml:space="preserve">Пр. 100х50 ст 1,45 (5,8 м) (201 марка)</t>
  </si>
  <si>
    <t xml:space="preserve">Пр. 15х15 ст 0,7 (6 м) (201 марка)</t>
  </si>
  <si>
    <t xml:space="preserve">Пр. 100х100 ст 1,35 (6 м) (201 марка)</t>
  </si>
  <si>
    <t xml:space="preserve">Пр. 80х40 ст 1,45 (5,8 м) (201 марка)</t>
  </si>
  <si>
    <t xml:space="preserve">Пр. 50х10 ст 0,9 (6 м) (201 марка)</t>
  </si>
  <si>
    <t xml:space="preserve">Пр. 25х13 ст 0,8 (6 м) (201 марка)</t>
  </si>
  <si>
    <t xml:space="preserve">Пр. 80х80 ст 0,9 (6 м) (201 марка)</t>
  </si>
  <si>
    <t xml:space="preserve">Пр. 100х100 ст 0,9 (6 м) (201 марка)</t>
  </si>
  <si>
    <t xml:space="preserve">(Голд) Пр. 20х10 ст 0,6 (6 м) (201 марка)</t>
  </si>
  <si>
    <t xml:space="preserve">(Голд) Пр. 15х15 ст 0,7 (5,8 м) (201 марка)</t>
  </si>
  <si>
    <t xml:space="preserve">(ЯНГИ) Пр. 25х25 ст 0,65 (6 м) </t>
  </si>
  <si>
    <t xml:space="preserve">(Голд) Пр. 50х50 ст 0,9 (5,8 м) (201 марка)</t>
  </si>
  <si>
    <t xml:space="preserve">Пр. 50х50 ст 2,0 (6 м) (304 марка)</t>
  </si>
  <si>
    <t xml:space="preserve">Пр. 60х40 ст 1,35 (5,8 м) (201 марка)</t>
  </si>
  <si>
    <t xml:space="preserve">Пр. 75х45 ст 1,1 (5,8 м) (201 марка)</t>
  </si>
  <si>
    <t xml:space="preserve">Пр. 40х15 ст 1,4 (6 м) (201 марка)</t>
  </si>
  <si>
    <t xml:space="preserve">Пр. 50х50 ст 1,9 (6 м) (304 марка)</t>
  </si>
  <si>
    <t xml:space="preserve">(Голд. Аркон) Пр. 19х19 ст 0,7 (6 м) (201 марка)</t>
  </si>
  <si>
    <t xml:space="preserve">Пр. 50х50 ст 1,5 (6 м) (304 марка)</t>
  </si>
  <si>
    <t xml:space="preserve">(Голд) Пр. 25х25 ст 0,7 (6 м) (201 марка)</t>
  </si>
  <si>
    <t xml:space="preserve">Пр. 30х30 ст 2,0 (6 м) (304 марка)</t>
  </si>
  <si>
    <t xml:space="preserve">Пр. 40х40 ст 2,0 (6 м) (304 марка)</t>
  </si>
  <si>
    <t xml:space="preserve">(Аркон) Пр. 19х19 ст 0,8 (6 м) (201 марка)</t>
  </si>
  <si>
    <t xml:space="preserve">Пр. 30х10 ст 0,8 (6 м) (201 марка)</t>
  </si>
  <si>
    <t xml:space="preserve">Пр. 100х50 ст 1,75 (6 м) (201 марка)</t>
  </si>
  <si>
    <t xml:space="preserve">Пр. 50х25 ст 1,35 (5,8 м) (201 марка)</t>
  </si>
  <si>
    <t xml:space="preserve">Пр. 40х20 ст 1,1 (6 м) (201 марка)</t>
  </si>
  <si>
    <t xml:space="preserve">(Голд) (Гармошка) Пр. 38х38 ст 0,9 (5,8 м) (201 марка)</t>
  </si>
  <si>
    <t xml:space="preserve">Пр. 50х50 ст 3,0 (6 м) (304 марка)</t>
  </si>
  <si>
    <t xml:space="preserve">Пр. 40х40 ст 0,7 (6 м) (201 марка)</t>
  </si>
  <si>
    <t xml:space="preserve">Пр. 20х20 ст 1,0 (6 м) (201 марка)</t>
  </si>
  <si>
    <t xml:space="preserve">(Голд) Пр. 60х40 ст 0,9 (6 м) (201 марка)</t>
  </si>
  <si>
    <t xml:space="preserve">Пр. 100х100 ст 1,4 (6 м) (201 марка)</t>
  </si>
  <si>
    <t xml:space="preserve">Пр. 50х50 ст 1,35 (6 м) (201 марка)</t>
  </si>
  <si>
    <t xml:space="preserve">Пр. 60х40 ст 1,35 (6 м) (201 марка)</t>
  </si>
  <si>
    <t xml:space="preserve">Пр. 80х40 ст 1,35 (5,8 м) (201 марка)</t>
  </si>
  <si>
    <t xml:space="preserve">Пр. 100х50 ст 1,35 (6 м) (201 марка)</t>
  </si>
  <si>
    <t xml:space="preserve">(Голд. Гулли) Пр. 20х20 ст 0,8 (6 м) (201 марка)</t>
  </si>
  <si>
    <t xml:space="preserve">Пр. 20х20 ст 0,8 (6 м) (201 марка)</t>
  </si>
  <si>
    <t xml:space="preserve">Пр. 75х45 ст 1,35 (5,8 м) (201 марка)</t>
  </si>
  <si>
    <t xml:space="preserve">(Голд) (Гармошка) Пр. 25х25 ст 0,9 (5,8 м) (201 марка)</t>
  </si>
  <si>
    <t xml:space="preserve">Пр. 50х10 ст 0,8 (6 м) (201 марка)</t>
  </si>
  <si>
    <t xml:space="preserve">Пр. 60х40 ст 1,5 (6 м) (201 марка)</t>
  </si>
  <si>
    <t xml:space="preserve">(Чизик) Пр. 40х30 ст 0,9 (5,8 м) (201 марка)</t>
  </si>
  <si>
    <t xml:space="preserve">Пр. 30х10 ст 1,4 (6 м) (304 марка)</t>
  </si>
  <si>
    <t xml:space="preserve">Пр. 80х40 ст 1,45 (6 м) (201 марка)</t>
  </si>
  <si>
    <t xml:space="preserve">(ЯНГИ) Пр. 20х20 ст 0,65 (6 м) </t>
  </si>
  <si>
    <t xml:space="preserve">Пр. 15х15 ст 0,9 (6 м) (201 марка) </t>
  </si>
  <si>
    <t xml:space="preserve">(Голд. Гулли) Пр. 100х100 ст 1,1 (6 м) (201 марка)</t>
  </si>
  <si>
    <t xml:space="preserve">Пр. 80х80 ст 1,4 (6 м) (304 марка)</t>
  </si>
  <si>
    <t xml:space="preserve">Пр. 80х80 ст 1,1 (6 м) (201 марка)</t>
  </si>
  <si>
    <t xml:space="preserve">Пр. 75х45 ст 1,4 (6 м) (304 марка)</t>
  </si>
  <si>
    <t xml:space="preserve">Пр. 50х10 ст 1,1 (6 м) (201 марка)</t>
  </si>
  <si>
    <t xml:space="preserve">Пр. 30х30 ст 0,8 (5,8 м) (201 марка) </t>
  </si>
  <si>
    <t xml:space="preserve">(Кора) Пр. 50х50 ст 0,9 (5,8 м) (201 марка)</t>
  </si>
  <si>
    <t xml:space="preserve">(Голд) Пр. 80х80 ст 1,1 (6 м) (201 марка)</t>
  </si>
  <si>
    <t xml:space="preserve">(Кора) Пр. 40х10 ст 1,4 (6 м) (201 марка)</t>
  </si>
  <si>
    <t xml:space="preserve">Пр. 80х80 ст 1,9 (6 м) (304 марка)</t>
  </si>
  <si>
    <t xml:space="preserve">Пр. 100х100 ст 1,9 (6 м) (304 марка)</t>
  </si>
  <si>
    <t xml:space="preserve">Пр. 60х60 ст 1,4 (6 м) (201 марка)</t>
  </si>
  <si>
    <t xml:space="preserve">Пр. 80х80 ст 1,5 (6 м) (304 марка)</t>
  </si>
  <si>
    <t xml:space="preserve">(Гулли) Пр. 20х20 ст 0,7 (6 м) (201 марка)</t>
  </si>
  <si>
    <t xml:space="preserve">Пр. 30х30 ст 1,1 (5,8 м) (201 марка) (Ж-1)</t>
  </si>
  <si>
    <t xml:space="preserve">(Аркон) Пр. 19х19 ст 0,9 (6 м) (201 марка)</t>
  </si>
  <si>
    <t xml:space="preserve">(Голд) Пр. 100х100 ст 1,4 (6 м) (201 марка) </t>
  </si>
  <si>
    <t xml:space="preserve">(Голд) Пр. 15х15 ст 0,8 (6 м) (201 марка)</t>
  </si>
  <si>
    <t xml:space="preserve">(Голд) Пр. 19х19 ст 0,9 (5,8 м) (201 марка)</t>
  </si>
  <si>
    <t xml:space="preserve">(Голд) Пр. 40х15 ст 1,1 (6 м) (201 марка)</t>
  </si>
  <si>
    <t xml:space="preserve">(Голд) Пр. 40х20 ст 0,8 (6 м) (201 марка)</t>
  </si>
  <si>
    <t xml:space="preserve">(Голд) Пр. 80х80 ст 0,9 (6 м) (201 марка)</t>
  </si>
  <si>
    <t xml:space="preserve">(Голд. Гулли) Пр. 19х19 ст 0,9 (6 м) (201 марка)</t>
  </si>
  <si>
    <t xml:space="preserve">(Голд. Гулли) Пр. 38х38 ст 0,8 (6 м) (201 марка)</t>
  </si>
  <si>
    <t xml:space="preserve">(Голд. Гулли) Пр. 80х80 ст 0,9 (6 м) (201 марка)</t>
  </si>
  <si>
    <t xml:space="preserve">(Гулли) Пр. 19х19 ст 0,9 (6 м) (201 марка)</t>
  </si>
  <si>
    <t xml:space="preserve">(Гулли) Пр. 25х25 ст 0,8 (6 м) (201 марка)</t>
  </si>
  <si>
    <t xml:space="preserve">(Гулли) Пр. 80х80 ст 0,92 (6 м) (201 марка)</t>
  </si>
  <si>
    <t xml:space="preserve">(Кора) Пр. 100х100 ст 1,35 (6 м) (201 марка)</t>
  </si>
  <si>
    <t xml:space="preserve">(Кора) Пр. 15х15 ст 0,7 (6 м) (201 марка)</t>
  </si>
  <si>
    <t xml:space="preserve">(Кора) Пр. 40х40 ст 0,9 (6 м) (201 марка)</t>
  </si>
  <si>
    <t xml:space="preserve">(Кора. Гулли) Пр. 20х20 ст 0,8 (6 м) (201 марка)</t>
  </si>
  <si>
    <t xml:space="preserve">(Чизик) Пр. 25х25 ст 0,9 (5,8 м) (201 марка)</t>
  </si>
  <si>
    <t xml:space="preserve">(ЯНГИ) Пр. 40х40 ст 0,85 (6 м) </t>
  </si>
  <si>
    <t xml:space="preserve">Пр. 100х100 ст 2,4 (6 м) (201 марка)</t>
  </si>
  <si>
    <t xml:space="preserve">Пр. 120х120 ст 1,9 (6 м) (201 марка)</t>
  </si>
  <si>
    <t xml:space="preserve">Пр. 120х120 ст 2,4 (6 м) (201 марка)</t>
  </si>
  <si>
    <t xml:space="preserve">Пр. 120х80 ст 1,8 (6 м) (201 марка)</t>
  </si>
  <si>
    <t xml:space="preserve">Пр. 15х15 ст 0,6 (6 м) (201 марка) (Ж-1)</t>
  </si>
  <si>
    <t xml:space="preserve">Пр. 20х20 ст 1,1 (6 м) (201 марка)</t>
  </si>
  <si>
    <t xml:space="preserve">Пр. 25х13 ст 0,9 (6 м) (201 марка)</t>
  </si>
  <si>
    <t xml:space="preserve">Пр. 25х13 ст 1,1 (6 м) (201 марка)</t>
  </si>
  <si>
    <t xml:space="preserve">Пр. 25х25 ст 1,0 (6 м) (201 марка) (Ж-1)</t>
  </si>
  <si>
    <t xml:space="preserve">Пр. 30х30 ст 0,7 (5,8 м) (201 марка)</t>
  </si>
  <si>
    <t xml:space="preserve">Пр. 30х30 ст 1,1 (6 м) (201 марка) (Ж-1)</t>
  </si>
  <si>
    <t xml:space="preserve">Пр. 38х38 ст 0,8 (6 м) (201 марка)</t>
  </si>
  <si>
    <t xml:space="preserve">Пр. 38х38 ст 1,5 (6 м) (201 марка)</t>
  </si>
  <si>
    <t xml:space="preserve">Пр. 40х20 ст 0,8 (6 м) (201 марка)</t>
  </si>
  <si>
    <t xml:space="preserve">Пр. 40х40 ст 1,4 (6 м) (304 марка)</t>
  </si>
  <si>
    <t xml:space="preserve">Пр. 40х40 ст 3,0 (6 м) (304 марка)</t>
  </si>
  <si>
    <t xml:space="preserve">Пр. 50х50 ст 2,0 (6 м) (201 марка)</t>
  </si>
  <si>
    <t xml:space="preserve">Пр. 60х20 ст 0,9 (6 м) (201 марка)</t>
  </si>
  <si>
    <t xml:space="preserve">Пр. 60х40 ст 3,0 (6 м) (304 марка)</t>
  </si>
  <si>
    <t xml:space="preserve">Пр. 60х60 ст 1,4 (5,8 м) (201 марка)</t>
  </si>
  <si>
    <t xml:space="preserve">Пр. 60х60 ст 2,0 (6 м) (201 марка)</t>
  </si>
  <si>
    <t xml:space="preserve">Пр. 80х40 ст 1,4 (5,8 м) (201 марка)</t>
  </si>
  <si>
    <t xml:space="preserve">Пр. 80х80 ст 0,9 (5,8 м) (201 марка)</t>
  </si>
  <si>
    <t xml:space="preserve">Пр. 80х80 ст 2,4 (6 м) (201 марка)</t>
  </si>
  <si>
    <t xml:space="preserve">Лист-0,6 (1220х2440) (Матовый) (201 марка)</t>
  </si>
  <si>
    <t xml:space="preserve">Лист-0,8 (1220х2440) (Матовый) (201 марка)</t>
  </si>
  <si>
    <t xml:space="preserve">Лист-0,8 (1220х2440) (Кора) (201 марка)</t>
  </si>
  <si>
    <t xml:space="preserve">Лист-0,6 (1220х2440) (Кора) (201 марка)</t>
  </si>
  <si>
    <t xml:space="preserve">Лист-0,4 (1220х2440) (Матовый) (201 марка)</t>
  </si>
  <si>
    <t xml:space="preserve">Лист-1,0 (1220х2440) (Матовый) (201 марка)</t>
  </si>
  <si>
    <t xml:space="preserve">Лист-0,6 (1220х2440) (Голд) (201 марка)</t>
  </si>
  <si>
    <t xml:space="preserve">Лист-0,6 (1220х2440) (Глянцевый) (201 марка)</t>
  </si>
  <si>
    <t xml:space="preserve">Лист- 0,8 (1220х2440) (Матовый) (430 марка)</t>
  </si>
  <si>
    <t xml:space="preserve">Лист-1,2 (1220х2440) (Матовый) (201 марка)</t>
  </si>
  <si>
    <t xml:space="preserve">Лист-0,8 (1220х2440) (Глянцевый) (201 марка)</t>
  </si>
  <si>
    <t xml:space="preserve">Лист-0,8 (1220х2440) (Голд) (201 марка)</t>
  </si>
  <si>
    <t xml:space="preserve">Лист-2,0 (1220х2440) (Матовый) (201 марка)</t>
  </si>
  <si>
    <t xml:space="preserve">Лист-1,5 (1220х2440) (Матовый) (201 марка)</t>
  </si>
  <si>
    <t xml:space="preserve">Лист-1,0 (1220х2440) (Глянцевый) (201 марка)</t>
  </si>
  <si>
    <t xml:space="preserve">Лист-1,2 (1220х2440) (Глянцевый) (201 марка)</t>
  </si>
  <si>
    <t xml:space="preserve">Лист- 0,8 (1250х2700) (Матовый) (430 марка)</t>
  </si>
  <si>
    <t xml:space="preserve">Лист-3,0 (1220х2440) (Матовый) (201 марка)</t>
  </si>
  <si>
    <t xml:space="preserve">Лист-0,8 (1500х3000) (Матовый) (201 марка)</t>
  </si>
  <si>
    <t xml:space="preserve">Лист-1,2 (1220х2440) (Матовый) (304 марка)</t>
  </si>
  <si>
    <t xml:space="preserve">Лист-2,0 (1220х2440) (Матовый) (304 марка)</t>
  </si>
  <si>
    <t xml:space="preserve">Лист- 0,6 (1220х2440) (Матовый) (430 марка)</t>
  </si>
  <si>
    <t xml:space="preserve">Лист-2,0 (1500х3000) (Матовый) (304 марка) </t>
  </si>
  <si>
    <t xml:space="preserve">Лист-1,0 (1220х2440) (Матовый) (304 марка)</t>
  </si>
  <si>
    <t xml:space="preserve">Лист-3,0 (1500х3000) (Матовый) (304 марка) </t>
  </si>
  <si>
    <t xml:space="preserve">Лист-1,2 (1220х2440) (Глянцевый) (304 марка)</t>
  </si>
  <si>
    <t xml:space="preserve">Лист- 1,0 (1250х2700) (Матовый) (430 марка)</t>
  </si>
  <si>
    <t xml:space="preserve">Лист-2,0 (1500х3000) (Матовый) (201 марка)</t>
  </si>
  <si>
    <t xml:space="preserve">Лист-1,5 (1220х2440) (Матовый) (304 марка)</t>
  </si>
  <si>
    <t xml:space="preserve">Лист-1,0 (1500х3000) (Матовый) (201 марка)</t>
  </si>
  <si>
    <t xml:space="preserve">Лист-0,8 (1220х2440) (Матовый) (304 марка)</t>
  </si>
  <si>
    <t xml:space="preserve">Лист-0,4 (1220х2440) (Глянцевый) (201 марка)</t>
  </si>
  <si>
    <t xml:space="preserve">Лист-0,8 (1220х3000) (Mirror Bronze) (201 марка)  </t>
  </si>
  <si>
    <t xml:space="preserve">Лист-3,0 (1220х2440) (Матовый) (304 марка)</t>
  </si>
  <si>
    <t xml:space="preserve">Лист-1,0 (1500х3000) (Матовый) (304 марка) </t>
  </si>
  <si>
    <t xml:space="preserve">Лист-1,5 (1500х3000) (Матовый) (304 марка) </t>
  </si>
  <si>
    <t xml:space="preserve">Лист-1,5 (1500х3000) (Матовый) (201 марка)</t>
  </si>
  <si>
    <t xml:space="preserve">Лист-0,8 (1220х2440) (Рифленый матовый) (201 марка)</t>
  </si>
  <si>
    <t xml:space="preserve">Лист-4,0 (1500х3000) (Матовый) (201 марка)</t>
  </si>
  <si>
    <t xml:space="preserve">Лист-2,0 (1220х2440) (Глянцевый) (201 марка)</t>
  </si>
  <si>
    <t xml:space="preserve">Лист-0,8 (1220х2440) (Glossy Royal Blue) (201 марка)</t>
  </si>
  <si>
    <t xml:space="preserve">Лист-1,5 (1220х2440) (Глянцевый) (201 марка)</t>
  </si>
  <si>
    <t xml:space="preserve">Лист-0,8 (1220х3000) (Hairline Gold Matt) (201 марка) </t>
  </si>
  <si>
    <t xml:space="preserve">Лист-1,5 (1220х2440) (Глянцевый) (304 марка)</t>
  </si>
  <si>
    <t xml:space="preserve">Лист-0,41 (1220х2440) (Голд) (201 марка)</t>
  </si>
  <si>
    <t xml:space="preserve">Лист-0,8 (1220х2440) (Глянцевый) (304 марка)</t>
  </si>
  <si>
    <t xml:space="preserve">Лист-0,8 (1220х3000) (Satin Bronze Matt) (201 марка)</t>
  </si>
  <si>
    <t xml:space="preserve">Лист-1,0 (1220х2440) (Глянцевый) (304 марка)</t>
  </si>
  <si>
    <t xml:space="preserve">Лист-0,6 (1220х3000) (Кора) (201 марка)</t>
  </si>
  <si>
    <t xml:space="preserve">Лист-1,2 (1500х3000) (Матовый) (304 марка) </t>
  </si>
  <si>
    <t xml:space="preserve">Лист- 1,2 (1250х2700) (Матовый) (430 марка)</t>
  </si>
  <si>
    <t xml:space="preserve">Лист-0,6 (1220х2440) (Glossy Royal Blue) (201 марка)  </t>
  </si>
  <si>
    <t xml:space="preserve">Лист-0,8 (1220х2440) (Hairline Gold Matt) (201 марка)  </t>
  </si>
  <si>
    <t xml:space="preserve">Лист-1,5 (1220х2440) (Рифленый глянцевый) (201 марка)</t>
  </si>
  <si>
    <t xml:space="preserve">Лист-3,0 (1220х2440) (Глянцевый) (201 марка)</t>
  </si>
  <si>
    <t xml:space="preserve">Лист-0,73 (1220х2440) (Матовый) (201 марка)</t>
  </si>
  <si>
    <t xml:space="preserve">Лист-1,8 (1220х2440) (Глянцевый) (201 марка)</t>
  </si>
  <si>
    <t xml:space="preserve">Лист-1.0 (1220х2440) (Hairline Gold Matt) (201 марка)</t>
  </si>
  <si>
    <t xml:space="preserve">Лист-1,8 (1220х2440) (Матовый) (201 марка)</t>
  </si>
  <si>
    <t xml:space="preserve">Лист-1,0 (1220х2440) (Голд) (201 марка)</t>
  </si>
  <si>
    <t xml:space="preserve">Лист-3,0 (1500х3000) (Матовый) (201 марка)</t>
  </si>
  <si>
    <t xml:space="preserve">Лист-0,4 (1220х2440) (Матовый) (304 марка)</t>
  </si>
  <si>
    <t xml:space="preserve">Лист-0,8 (1500х3000) (Матовый) (304 марка)</t>
  </si>
  <si>
    <t xml:space="preserve">Лист-2,0 (1220х2440) (Глянцевый) (304 марка)</t>
  </si>
  <si>
    <t xml:space="preserve">Лист-0,4 (1220х2440) (Голд) (201 марка)</t>
  </si>
  <si>
    <t xml:space="preserve">Лист-1,2 (1500х3000) (Матовый) (201 марка)</t>
  </si>
  <si>
    <t xml:space="preserve">Лист-0,8 (1220х2440) (Рифленый глянцевый) (201 марка)</t>
  </si>
  <si>
    <t xml:space="preserve">Лист-4,0 (1220х2440) (Матовый) (201 марка)</t>
  </si>
  <si>
    <t xml:space="preserve">Лист-5,0 (1500х3000) (Матовый) (304 марка) </t>
  </si>
  <si>
    <t xml:space="preserve">Лист-0,7 (1500х3000) (Голд) (201 марка)</t>
  </si>
  <si>
    <t xml:space="preserve">Лист-2,5 (1220х2440) (Матовый) (304 марка)</t>
  </si>
  <si>
    <t xml:space="preserve">Лист-0,6 (1220х3000) (голд) (201 марка)</t>
  </si>
  <si>
    <t xml:space="preserve">Лист-1,2 (1500х3000) (Глянцевый) (304 марка) </t>
  </si>
  <si>
    <t xml:space="preserve">Лист-1,5 (1500х3000) (Глянцевый) (304 марка) </t>
  </si>
  <si>
    <t xml:space="preserve">Лист-6,0 (1500х3000) (Матовый) (304 марка) </t>
  </si>
  <si>
    <t xml:space="preserve">Лист-1,0 (1500х3000) (Глянцевый) (304 марка) </t>
  </si>
  <si>
    <t xml:space="preserve">Лист-1,5 (1500х3000) (Глянцевый) (201 марка)</t>
  </si>
  <si>
    <t xml:space="preserve">Лист-0,5 (1220х2440) (Катта Волна Глянц.) (201 марка)</t>
  </si>
  <si>
    <t xml:space="preserve">Лист- 0,8 (1500х3000) (Матовый) (430 марка)</t>
  </si>
  <si>
    <t xml:space="preserve">Лист-0,5 (1220х2440) (Ромбик Голд) (201 марка)</t>
  </si>
  <si>
    <t xml:space="preserve">Лист-0,8 (1220х3000) (Mirror Rose Gold) (201 марка)</t>
  </si>
  <si>
    <t xml:space="preserve">Лист-0,7 (1220х2440) (Голд) (201 марка)</t>
  </si>
  <si>
    <t xml:space="preserve">Лист-0,5 (1220х2440) (Волна Голд) (201 марка)</t>
  </si>
  <si>
    <t xml:space="preserve">Лист-0,8 (1220х2440) (Mirror Like Emerald Green) (201 марка)</t>
  </si>
  <si>
    <t xml:space="preserve">Лист-1,8 (1220х2440) (Матовый) (304 марка)</t>
  </si>
  <si>
    <t xml:space="preserve">Лист-0,6 (1220х3000) (Глянцевый) (201 марка)</t>
  </si>
  <si>
    <t xml:space="preserve">Лист-0,8 (1220х2700) (Nano antique brass) (201 марка)</t>
  </si>
  <si>
    <t xml:space="preserve">Лист- 2,0 (1500х3000) (Глянцевый) (304 марка) </t>
  </si>
  <si>
    <t xml:space="preserve">Лист-0,8 (1220х2700) (Mirror bronze) (201 марка)</t>
  </si>
  <si>
    <t xml:space="preserve">Лист-1,2 (1220х2440) (Голд) (201 марка)</t>
  </si>
  <si>
    <t xml:space="preserve">Лист-0,7 (1220х2440) (Матовый) (201 марка)</t>
  </si>
  <si>
    <t xml:space="preserve">Лист-0,7 (1500х3000) (Матовый) (201 марка)</t>
  </si>
  <si>
    <t xml:space="preserve">Лист-2,01 (1220х2440) (Глянцевый) (304 марка)</t>
  </si>
  <si>
    <t xml:space="preserve">Лист-1,0 (1220х2440) (Рифленый глянцевый) (201 марка)</t>
  </si>
  <si>
    <t xml:space="preserve">Лист-3,0 (1220х2440) (Глянцевый) (304 марка)</t>
  </si>
  <si>
    <t xml:space="preserve">Лист-1,45 (1220х2440) (Матовый) (201 марка)</t>
  </si>
  <si>
    <t xml:space="preserve">Лист-6,0 (1500х3000) (Матовый) (201 марка)</t>
  </si>
  <si>
    <t xml:space="preserve">Лист-8,0 (1500х3000) (Матовый) (304 марка) </t>
  </si>
  <si>
    <t xml:space="preserve">Лист-0,8 (1500х3000) (Голд) (201 марка)</t>
  </si>
  <si>
    <t xml:space="preserve">Лист-0,61 (1220х2440) (Матовый) (201 марка)</t>
  </si>
  <si>
    <t xml:space="preserve">Лист-10.0 (1500х3000) (Матовый) (304 марка) </t>
  </si>
  <si>
    <t xml:space="preserve">Лист-1,5 (1220х2440) (Рифленый матовый) (201 марка)</t>
  </si>
  <si>
    <t xml:space="preserve">Лист-0,5 (1220х2440) (Волна Глянц.) (201 марка)</t>
  </si>
  <si>
    <t xml:space="preserve">Лист-0,5 (1220х2440) (Катта Волна Кук) (201 марка)</t>
  </si>
  <si>
    <t xml:space="preserve">Лист-0,7 (1220х2440) (Кора) (201 марка)</t>
  </si>
  <si>
    <t xml:space="preserve">Лист-0,5 (1220х2440) (Голд) (201 марка)</t>
  </si>
  <si>
    <t xml:space="preserve">Лист-16.0 (1500х3000) (Матовый) (304 марка) </t>
  </si>
  <si>
    <t xml:space="preserve">Лист- 0,7 (1500х3000) (Кора) (201 марка)</t>
  </si>
  <si>
    <t xml:space="preserve">Лист- 0,8 (1000х2000) (Матовый) (430 марка)</t>
  </si>
  <si>
    <t xml:space="preserve">Лист-0,5 (1220х2440) (Волна Кук) (201 марка)</t>
  </si>
  <si>
    <t xml:space="preserve">Лист-0,5 (1220х2440) (Катта Волна Голд) (201 марка)</t>
  </si>
  <si>
    <t xml:space="preserve">Лист-0,53 (1220х2440) (Матовый) (201 марка)</t>
  </si>
  <si>
    <t xml:space="preserve">Лист-0,8 (1220х2700) (Hairline grey) (201 марка)</t>
  </si>
  <si>
    <t xml:space="preserve">Лист-0,8 (1220х2700) (Nano black) (201 марка)</t>
  </si>
  <si>
    <t xml:space="preserve">Лист-0,8 (1220х2700) (Sandblasted matt) (201 марка)</t>
  </si>
  <si>
    <t xml:space="preserve">Лист-0,8 (1220х3000) (Glossy Royal Blue) (201 марка) </t>
  </si>
  <si>
    <t xml:space="preserve">Лист-0,8 (1220х3000) (голд) (201 марка)</t>
  </si>
  <si>
    <t xml:space="preserve">Лист-0,9 (1500х3000) (Матовый) (201 марка)</t>
  </si>
  <si>
    <t xml:space="preserve">Лист-0,93 (1220х2440) (Матовый) (201 марка)</t>
  </si>
  <si>
    <t xml:space="preserve">Лист-1,21 (1220х2440) (Матовый) (201 марка)</t>
  </si>
  <si>
    <t xml:space="preserve">Лист-1,21 (1220х2440) (Матовый) (304 марка)</t>
  </si>
  <si>
    <t xml:space="preserve">Лист-1,4 (1500х3000) (Матовый) (201 марка)</t>
  </si>
  <si>
    <t xml:space="preserve">Лист-1,5 (1220х2440) (Голд) (304 марка)</t>
  </si>
  <si>
    <t xml:space="preserve">Лист-1,7 (1220х2440) (Матовый) (304 марка)</t>
  </si>
  <si>
    <t xml:space="preserve">Лист-12.0 (1500х3000) (Матовый) (304 марка) </t>
  </si>
  <si>
    <t xml:space="preserve">Лист-14.0 (1500х3000) (Матовый) (304 марка) </t>
  </si>
  <si>
    <t xml:space="preserve">Лист-2,0 (1220х2440) (Рифленый матовый) (201 марка)</t>
  </si>
  <si>
    <t xml:space="preserve">Лист-2,0 (1220х2440) (Рифленый матовый) (304 марка)</t>
  </si>
  <si>
    <t xml:space="preserve">Лист-2,01 (1220х2440) (Матовый) (304 марка)</t>
  </si>
  <si>
    <t xml:space="preserve">Лист-2,41 (1220х2440) (Матовый) (201 марка)</t>
  </si>
  <si>
    <t xml:space="preserve">Лист-2,5 (1220х2440) (Глянцевый) (201 марка)</t>
  </si>
  <si>
    <t xml:space="preserve">Лист-2,91 (1220х2440) (Глянцевый) (304 марка)</t>
  </si>
  <si>
    <t xml:space="preserve">Лист-2,91 (1220х2440) (Матовый) (304 марка)</t>
  </si>
  <si>
    <t xml:space="preserve">Лист-3,0 (1220х2440) (Рифленый матовый) (201 марка)</t>
  </si>
  <si>
    <t xml:space="preserve">Лист-3,0 (1220х2440) (Рифленый матовый) (304 марка)</t>
  </si>
  <si>
    <t xml:space="preserve">Баласина-02</t>
  </si>
  <si>
    <t xml:space="preserve">Баласина-03</t>
  </si>
  <si>
    <t xml:space="preserve">Баласина-11</t>
  </si>
  <si>
    <t xml:space="preserve">Баласина-08</t>
  </si>
  <si>
    <t xml:space="preserve">Баласина-25</t>
  </si>
  <si>
    <t xml:space="preserve">Баласина-10</t>
  </si>
  <si>
    <t xml:space="preserve">Баласина-21</t>
  </si>
  <si>
    <t xml:space="preserve">Баласина-20</t>
  </si>
  <si>
    <t xml:space="preserve">Баласина-01</t>
  </si>
  <si>
    <t xml:space="preserve">Баласина-34</t>
  </si>
  <si>
    <t xml:space="preserve">Баласина-24</t>
  </si>
  <si>
    <t xml:space="preserve">Баласина-07</t>
  </si>
  <si>
    <t xml:space="preserve">Баласина-31</t>
  </si>
  <si>
    <t xml:space="preserve">Баласина-18</t>
  </si>
  <si>
    <t xml:space="preserve">Баласина-32</t>
  </si>
  <si>
    <t xml:space="preserve">Баласина-27</t>
  </si>
  <si>
    <t xml:space="preserve">Баласина-04</t>
  </si>
  <si>
    <t xml:space="preserve">Баласина-28</t>
  </si>
  <si>
    <t xml:space="preserve">Баласина-30</t>
  </si>
  <si>
    <t xml:space="preserve">Баласина-23</t>
  </si>
  <si>
    <t xml:space="preserve">Баласина-17</t>
  </si>
  <si>
    <t xml:space="preserve">Баласина-09</t>
  </si>
  <si>
    <t xml:space="preserve">Баласина-22</t>
  </si>
  <si>
    <t xml:space="preserve">Баласина-16</t>
  </si>
  <si>
    <t xml:space="preserve">Баласина-кора </t>
  </si>
  <si>
    <t xml:space="preserve">Баласина-06</t>
  </si>
  <si>
    <t xml:space="preserve">Баласина-14</t>
  </si>
  <si>
    <t xml:space="preserve">Баласина-29</t>
  </si>
  <si>
    <t xml:space="preserve">Баласина-26</t>
  </si>
  <si>
    <t xml:space="preserve">Баласина-12</t>
  </si>
  <si>
    <t xml:space="preserve">Баласина-13</t>
  </si>
  <si>
    <t xml:space="preserve">Баласина (Соккалик)</t>
  </si>
  <si>
    <t xml:space="preserve">Баласина-15</t>
  </si>
  <si>
    <t xml:space="preserve">Баласина-19</t>
  </si>
  <si>
    <t xml:space="preserve">Стойка  №25</t>
  </si>
  <si>
    <t xml:space="preserve">Стойка  №24</t>
  </si>
  <si>
    <t xml:space="preserve">Узук стойка Ф-51 (Очик)</t>
  </si>
  <si>
    <t xml:space="preserve">Стойка  №67</t>
  </si>
  <si>
    <t xml:space="preserve">Стойка  №85</t>
  </si>
  <si>
    <t xml:space="preserve">Стойка  №10</t>
  </si>
  <si>
    <t xml:space="preserve">Стойка  №39</t>
  </si>
  <si>
    <t xml:space="preserve">Стойка  №77</t>
  </si>
  <si>
    <t xml:space="preserve">Тусик - (Стойкаси) </t>
  </si>
  <si>
    <t xml:space="preserve">Стойка  №42</t>
  </si>
  <si>
    <t xml:space="preserve">Стойка  №32</t>
  </si>
  <si>
    <t xml:space="preserve">Стойка  №14</t>
  </si>
  <si>
    <t xml:space="preserve">Стойка  №35</t>
  </si>
  <si>
    <t xml:space="preserve">Стойка  №46</t>
  </si>
  <si>
    <t xml:space="preserve">Стойка  №52</t>
  </si>
  <si>
    <t xml:space="preserve">Стойка  №44</t>
  </si>
  <si>
    <t xml:space="preserve">Стойка  №23</t>
  </si>
  <si>
    <t xml:space="preserve">Стойка  №59</t>
  </si>
  <si>
    <t xml:space="preserve">Стойка  №43</t>
  </si>
  <si>
    <t xml:space="preserve">Стойка  №26</t>
  </si>
  <si>
    <t xml:space="preserve">Стойка  №70</t>
  </si>
  <si>
    <t xml:space="preserve">Стойка  №53</t>
  </si>
  <si>
    <t xml:space="preserve">Стойка  №62</t>
  </si>
  <si>
    <t xml:space="preserve">Стойка  №33</t>
  </si>
  <si>
    <t xml:space="preserve">Стойка  №63</t>
  </si>
  <si>
    <t xml:space="preserve">Стойка  №71</t>
  </si>
  <si>
    <t xml:space="preserve">Стойка  №86</t>
  </si>
  <si>
    <t xml:space="preserve">Стойка  №93</t>
  </si>
  <si>
    <t xml:space="preserve">Стойка  №16</t>
  </si>
  <si>
    <t xml:space="preserve">Стойка  №20</t>
  </si>
  <si>
    <t xml:space="preserve">Стойка  №50</t>
  </si>
  <si>
    <t xml:space="preserve">Стойка  №48</t>
  </si>
  <si>
    <t xml:space="preserve">Стойка  №54</t>
  </si>
  <si>
    <t xml:space="preserve">Стойка  №21</t>
  </si>
  <si>
    <t xml:space="preserve">Узук стойка Ф-51 (Ёпик)</t>
  </si>
  <si>
    <t xml:space="preserve">Стойка  №47</t>
  </si>
  <si>
    <t xml:space="preserve">Стойка  №60</t>
  </si>
  <si>
    <t xml:space="preserve">Стойка  №92</t>
  </si>
  <si>
    <t xml:space="preserve">Стойка  №100</t>
  </si>
  <si>
    <t xml:space="preserve">Стойка  №87</t>
  </si>
  <si>
    <t xml:space="preserve">Стойка  №82</t>
  </si>
  <si>
    <t xml:space="preserve">Стойка  №109</t>
  </si>
  <si>
    <t xml:space="preserve">Стойка  №66</t>
  </si>
  <si>
    <t xml:space="preserve">Стойка  №104</t>
  </si>
  <si>
    <t xml:space="preserve">Стойка  №37</t>
  </si>
  <si>
    <t xml:space="preserve">Стойка  №49</t>
  </si>
  <si>
    <t xml:space="preserve">Стойка  №105</t>
  </si>
  <si>
    <t xml:space="preserve">Стойка  №07 (Ойна)</t>
  </si>
  <si>
    <t xml:space="preserve">Стойка  №28</t>
  </si>
  <si>
    <t xml:space="preserve">Стойка  №38</t>
  </si>
  <si>
    <t xml:space="preserve">Стойка  №75</t>
  </si>
  <si>
    <t xml:space="preserve">Стойка  №78</t>
  </si>
  <si>
    <t xml:space="preserve">Стойка  №31</t>
  </si>
  <si>
    <t xml:space="preserve">Стойка  №51</t>
  </si>
  <si>
    <t xml:space="preserve">Стойка  №73</t>
  </si>
  <si>
    <t xml:space="preserve">Стойка  №95</t>
  </si>
  <si>
    <t xml:space="preserve">Стойка  №02 (Ф16)</t>
  </si>
  <si>
    <t xml:space="preserve">Стойка  №41</t>
  </si>
  <si>
    <t xml:space="preserve">Стойка  №12</t>
  </si>
  <si>
    <t xml:space="preserve">Стойка  №88</t>
  </si>
  <si>
    <t xml:space="preserve">Стойка  №83</t>
  </si>
  <si>
    <t xml:space="preserve">Стойка  №27</t>
  </si>
  <si>
    <t xml:space="preserve">Стойка  №19</t>
  </si>
  <si>
    <t xml:space="preserve">Стойка  №89</t>
  </si>
  <si>
    <t xml:space="preserve">Стойка  №68</t>
  </si>
  <si>
    <t xml:space="preserve">Стойка  №17</t>
  </si>
  <si>
    <t xml:space="preserve">Стойка  №103</t>
  </si>
  <si>
    <t xml:space="preserve">Стойка  №64</t>
  </si>
  <si>
    <t xml:space="preserve">Стойка  №65</t>
  </si>
  <si>
    <t xml:space="preserve">Стойка  №01 (Ф16)</t>
  </si>
  <si>
    <t xml:space="preserve">Стойка  №03 (Ф16)</t>
  </si>
  <si>
    <t xml:space="preserve">Стойка  №04 (Ф16)</t>
  </si>
  <si>
    <t xml:space="preserve">Стойка  №05 (Ф16)</t>
  </si>
  <si>
    <t xml:space="preserve">Стойка  №08 (Ф16)</t>
  </si>
  <si>
    <t xml:space="preserve">Стойка  №09</t>
  </si>
  <si>
    <t xml:space="preserve">Стойка  №101</t>
  </si>
  <si>
    <t xml:space="preserve">Стойка  №102</t>
  </si>
  <si>
    <t xml:space="preserve">Стойка  №106</t>
  </si>
  <si>
    <t xml:space="preserve">Стойка  №107</t>
  </si>
  <si>
    <t xml:space="preserve">Стойка  №108</t>
  </si>
  <si>
    <t xml:space="preserve">Стойка  №11</t>
  </si>
  <si>
    <t xml:space="preserve">Стойка  №110</t>
  </si>
  <si>
    <t xml:space="preserve">Стойка  №111</t>
  </si>
  <si>
    <t xml:space="preserve">Стойка  №112</t>
  </si>
  <si>
    <t xml:space="preserve">Стойка  №113</t>
  </si>
  <si>
    <t xml:space="preserve">Стойка  №13</t>
  </si>
  <si>
    <t xml:space="preserve">Стойка  №15</t>
  </si>
  <si>
    <t xml:space="preserve">Стойка  №18</t>
  </si>
  <si>
    <t xml:space="preserve">Стойка  №22</t>
  </si>
  <si>
    <t xml:space="preserve">Стойка  №29</t>
  </si>
  <si>
    <t xml:space="preserve">Стойка  №30</t>
  </si>
  <si>
    <t xml:space="preserve">Стойка  №34</t>
  </si>
  <si>
    <t xml:space="preserve">Стойка  №35 Голд</t>
  </si>
  <si>
    <t xml:space="preserve">Стойка  №36</t>
  </si>
  <si>
    <t xml:space="preserve">Стойка  №40</t>
  </si>
  <si>
    <t xml:space="preserve">Стойка  №45</t>
  </si>
  <si>
    <t xml:space="preserve">Стойка  №55</t>
  </si>
  <si>
    <t xml:space="preserve">Стойка  №56</t>
  </si>
  <si>
    <t xml:space="preserve">Стойка  №57</t>
  </si>
  <si>
    <t xml:space="preserve">Стойка  №58</t>
  </si>
  <si>
    <t xml:space="preserve">Стойка  №61</t>
  </si>
  <si>
    <t xml:space="preserve">Стойка  №69</t>
  </si>
  <si>
    <t xml:space="preserve">Стойка  №72</t>
  </si>
  <si>
    <t xml:space="preserve">Стойка  №74</t>
  </si>
  <si>
    <t xml:space="preserve">Стойка  №76</t>
  </si>
  <si>
    <t xml:space="preserve">Стойка  №79</t>
  </si>
  <si>
    <t xml:space="preserve">Стойка  №80</t>
  </si>
  <si>
    <t xml:space="preserve">Стойка  №81</t>
  </si>
  <si>
    <t xml:space="preserve">Стойка  №84</t>
  </si>
  <si>
    <t xml:space="preserve">Стойка  №90</t>
  </si>
  <si>
    <t xml:space="preserve">Стойка  №91</t>
  </si>
  <si>
    <t xml:space="preserve">Стойка  №94</t>
  </si>
  <si>
    <t xml:space="preserve">Стойка  №96</t>
  </si>
  <si>
    <t xml:space="preserve">Стойка  №97</t>
  </si>
  <si>
    <t xml:space="preserve">Стойка  №98</t>
  </si>
  <si>
    <t xml:space="preserve">Стойка  №99</t>
  </si>
  <si>
    <t xml:space="preserve">Узук стойка Ф-25</t>
  </si>
  <si>
    <t xml:space="preserve">51-Чашка</t>
  </si>
  <si>
    <t xml:space="preserve">50х50-Чашка</t>
  </si>
  <si>
    <t xml:space="preserve">40х40-Чашка</t>
  </si>
  <si>
    <t xml:space="preserve">50х50-Чашка тепа-19</t>
  </si>
  <si>
    <t xml:space="preserve">50х50-Чашка тепа-25</t>
  </si>
  <si>
    <t xml:space="preserve">25-Чашка</t>
  </si>
  <si>
    <t xml:space="preserve">50х50-Чашка Голд </t>
  </si>
  <si>
    <t xml:space="preserve">40х40-Чашка тепа-19</t>
  </si>
  <si>
    <t xml:space="preserve">(Голд) 50х50-Чашка тепа-19</t>
  </si>
  <si>
    <t xml:space="preserve">38-Чашка</t>
  </si>
  <si>
    <t xml:space="preserve">40х40-Чашка Голд</t>
  </si>
  <si>
    <t xml:space="preserve">25х25-Чашка</t>
  </si>
  <si>
    <t xml:space="preserve">(Голд) 40х40-Чашка тепа-19</t>
  </si>
  <si>
    <t xml:space="preserve">32-Чашка</t>
  </si>
  <si>
    <t xml:space="preserve">Текстолит-Чашка</t>
  </si>
  <si>
    <t xml:space="preserve">40х40-Чашка тепа-25</t>
  </si>
  <si>
    <t xml:space="preserve">50х25-Чашка</t>
  </si>
  <si>
    <t xml:space="preserve">40х20-Чашка</t>
  </si>
  <si>
    <t xml:space="preserve">30х30-Чашка</t>
  </si>
  <si>
    <t xml:space="preserve">38х25-Чашка</t>
  </si>
  <si>
    <t xml:space="preserve">(Голд) 50х50-Чашка тепа-25</t>
  </si>
  <si>
    <t xml:space="preserve">80х80-Чашка-01 (Глянцевый)</t>
  </si>
  <si>
    <t xml:space="preserve">80х80-Чашка-02 (Голд)</t>
  </si>
  <si>
    <t xml:space="preserve">25х25-Чашка Голд</t>
  </si>
  <si>
    <t xml:space="preserve">50х50-Чашка №02</t>
  </si>
  <si>
    <t xml:space="preserve">80х80-Чашка-01 (Голд)</t>
  </si>
  <si>
    <t xml:space="preserve">30х30-Чашка Голд</t>
  </si>
  <si>
    <t xml:space="preserve">80х80-Чашка-02 (Глянцевый)</t>
  </si>
  <si>
    <t xml:space="preserve">Текстолит-Чашка Голд</t>
  </si>
  <si>
    <t xml:space="preserve">51-Чашка Голд</t>
  </si>
  <si>
    <t xml:space="preserve">76-Чашка</t>
  </si>
  <si>
    <t xml:space="preserve">40х20-Чашка (Голд)</t>
  </si>
  <si>
    <t xml:space="preserve">51-Чашка (304 марка)</t>
  </si>
  <si>
    <t xml:space="preserve">63-Чашка</t>
  </si>
  <si>
    <t xml:space="preserve">38-Чашка Голд</t>
  </si>
  <si>
    <t xml:space="preserve">76-Чашка Голд</t>
  </si>
  <si>
    <t xml:space="preserve">89-Чашка</t>
  </si>
  <si>
    <t xml:space="preserve">40х40-Чашка тепа-25 Голд</t>
  </si>
  <si>
    <t xml:space="preserve">20х20-Чашка</t>
  </si>
  <si>
    <t xml:space="preserve">38х38-Чашка</t>
  </si>
  <si>
    <t xml:space="preserve">38х38-Чашка тепа-19</t>
  </si>
  <si>
    <t xml:space="preserve">102-Чашка</t>
  </si>
  <si>
    <t xml:space="preserve">25-Чашка (304 марка)</t>
  </si>
  <si>
    <t xml:space="preserve">25х25-Чашка Голд  №02</t>
  </si>
  <si>
    <t xml:space="preserve">50х50-Чашка Голд  №02</t>
  </si>
  <si>
    <t xml:space="preserve">32-Чашка Голд</t>
  </si>
  <si>
    <t xml:space="preserve">38-Чашка (304 марка)</t>
  </si>
  <si>
    <t xml:space="preserve">80х80-Чашка</t>
  </si>
  <si>
    <t xml:space="preserve">32-Чашка (304 марка)</t>
  </si>
  <si>
    <t xml:space="preserve">25-Чашка Голд</t>
  </si>
  <si>
    <t xml:space="preserve">40х40-Чашка Голд  №02</t>
  </si>
  <si>
    <t xml:space="preserve">60х40-Чашка</t>
  </si>
  <si>
    <t xml:space="preserve">30х20-Чашка (Голд)</t>
  </si>
  <si>
    <t xml:space="preserve">30х20-Чашка</t>
  </si>
  <si>
    <t xml:space="preserve">89-Чашка Голд</t>
  </si>
  <si>
    <t xml:space="preserve">25х25-Чашка №02</t>
  </si>
  <si>
    <t xml:space="preserve">100х100-Чашка</t>
  </si>
  <si>
    <t xml:space="preserve">102-Чашка Голд</t>
  </si>
  <si>
    <t xml:space="preserve">20х20-Чашка Голд</t>
  </si>
  <si>
    <t xml:space="preserve">30х25-Чашка (Голд)</t>
  </si>
  <si>
    <t xml:space="preserve">38х25-Чашка (Голд)</t>
  </si>
  <si>
    <t xml:space="preserve">38х38-Чашка тепа-25</t>
  </si>
  <si>
    <t xml:space="preserve">40х40-Чашка №02</t>
  </si>
  <si>
    <t xml:space="preserve">50х25-Чашка (Голд)</t>
  </si>
  <si>
    <t xml:space="preserve">63-Чашка Голд</t>
  </si>
  <si>
    <t xml:space="preserve">Текстолит-Чашка 745</t>
  </si>
  <si>
    <t xml:space="preserve">Сокка 70х25</t>
  </si>
  <si>
    <t xml:space="preserve">Сокка 80х25</t>
  </si>
  <si>
    <t xml:space="preserve">Сокка 90х25</t>
  </si>
  <si>
    <t xml:space="preserve">Сокка 50х25</t>
  </si>
  <si>
    <t xml:space="preserve">Сокка. Голд 70х25</t>
  </si>
  <si>
    <t xml:space="preserve">Сокка 70х19</t>
  </si>
  <si>
    <t xml:space="preserve">Сокка. Голд 80х25</t>
  </si>
  <si>
    <t xml:space="preserve">Сокка. Голд 90х25</t>
  </si>
  <si>
    <t xml:space="preserve">Сокка 63х25</t>
  </si>
  <si>
    <t xml:space="preserve">Сокка 63х19</t>
  </si>
  <si>
    <t xml:space="preserve">Сокка 90х19</t>
  </si>
  <si>
    <t xml:space="preserve">Сокка. Голд 50х25</t>
  </si>
  <si>
    <t xml:space="preserve">Сокка 50х19</t>
  </si>
  <si>
    <t xml:space="preserve">Сокка. Голд 50х19</t>
  </si>
  <si>
    <t xml:space="preserve">Сокка 100х25</t>
  </si>
  <si>
    <t xml:space="preserve">Сокка. Голд 63х19</t>
  </si>
  <si>
    <t xml:space="preserve">Сокка. Голд 100х25</t>
  </si>
  <si>
    <t xml:space="preserve">Сокка 80х19</t>
  </si>
  <si>
    <t xml:space="preserve">63-Сокка</t>
  </si>
  <si>
    <t xml:space="preserve">38-Сокка</t>
  </si>
  <si>
    <t xml:space="preserve">Сокка. Голд 90х19</t>
  </si>
  <si>
    <t xml:space="preserve">Сокка. Голд 70х19</t>
  </si>
  <si>
    <t xml:space="preserve">Сокка. Голд 80х19</t>
  </si>
  <si>
    <t xml:space="preserve">Сокка (Тухум) 48х25</t>
  </si>
  <si>
    <t xml:space="preserve">Сокка. Голд 120х51</t>
  </si>
  <si>
    <t xml:space="preserve">51-Сокка</t>
  </si>
  <si>
    <t xml:space="preserve">Сокка. Голд 100х19</t>
  </si>
  <si>
    <t xml:space="preserve">70-Сокка</t>
  </si>
  <si>
    <t xml:space="preserve">Сокка. Гулли 25х38</t>
  </si>
  <si>
    <t xml:space="preserve">Сокка. Голд 100х51</t>
  </si>
  <si>
    <t xml:space="preserve">Сокка 60х19</t>
  </si>
  <si>
    <t xml:space="preserve">76-Сокка №-02</t>
  </si>
  <si>
    <t xml:space="preserve">80-Сокка Голд</t>
  </si>
  <si>
    <t xml:space="preserve">Сокка. Голд 63х25</t>
  </si>
  <si>
    <t xml:space="preserve">100-Сокка Голд</t>
  </si>
  <si>
    <t xml:space="preserve">Сокка 100х51</t>
  </si>
  <si>
    <t xml:space="preserve">Сокка 100х19</t>
  </si>
  <si>
    <t xml:space="preserve">80-Сокка</t>
  </si>
  <si>
    <t xml:space="preserve">Сокка. Голд (Тухум) 48х19</t>
  </si>
  <si>
    <t xml:space="preserve">Сокка. Голд 90х51</t>
  </si>
  <si>
    <t xml:space="preserve">100-Сокка</t>
  </si>
  <si>
    <t xml:space="preserve">Сокка. Голд (Тухум) 48х25</t>
  </si>
  <si>
    <t xml:space="preserve">150-Сокка Ок</t>
  </si>
  <si>
    <t xml:space="preserve">Сокка. Голд 80х51</t>
  </si>
  <si>
    <t xml:space="preserve">70-Сокка. Голд</t>
  </si>
  <si>
    <t xml:space="preserve">Сокка 38х25</t>
  </si>
  <si>
    <t xml:space="preserve">63-Сокка. Голд</t>
  </si>
  <si>
    <t xml:space="preserve">200-Сокка Ок</t>
  </si>
  <si>
    <t xml:space="preserve">Сокка. Гулли 25х43</t>
  </si>
  <si>
    <t xml:space="preserve">120-Сокка №-02</t>
  </si>
  <si>
    <t xml:space="preserve">180-Сокка Ок</t>
  </si>
  <si>
    <t xml:space="preserve">150-Сокка №-02</t>
  </si>
  <si>
    <t xml:space="preserve">90-Сокка. Голд</t>
  </si>
  <si>
    <t xml:space="preserve">120-Сокка ок</t>
  </si>
  <si>
    <t xml:space="preserve">90-Сокка</t>
  </si>
  <si>
    <t xml:space="preserve">100-Сокка №-02</t>
  </si>
  <si>
    <t xml:space="preserve">120-Сокка Сарик</t>
  </si>
  <si>
    <t xml:space="preserve">51-Сокка №-02</t>
  </si>
  <si>
    <t xml:space="preserve">51-Сокка. Голд</t>
  </si>
  <si>
    <t xml:space="preserve">63-Сокка №-02</t>
  </si>
  <si>
    <t xml:space="preserve">Сокка (Тухум) 48х19</t>
  </si>
  <si>
    <t xml:space="preserve">Сокка 150х51</t>
  </si>
  <si>
    <t xml:space="preserve">Сокка 60х25</t>
  </si>
  <si>
    <t xml:space="preserve">Сокка. Голд 38х25</t>
  </si>
  <si>
    <t xml:space="preserve">76-Шар сарик</t>
  </si>
  <si>
    <t xml:space="preserve">76-Шар ок</t>
  </si>
  <si>
    <t xml:space="preserve">51-Шар сарик</t>
  </si>
  <si>
    <t xml:space="preserve">51-Шар ок</t>
  </si>
  <si>
    <t xml:space="preserve">63-Шар сарик</t>
  </si>
  <si>
    <t xml:space="preserve">63-Шар Ок</t>
  </si>
  <si>
    <t xml:space="preserve">76-Шар №08 Сарик</t>
  </si>
  <si>
    <t xml:space="preserve">51-Шар №08 Сарик</t>
  </si>
  <si>
    <t xml:space="preserve">76-Шар №07 Ок</t>
  </si>
  <si>
    <t xml:space="preserve">51-Шар №07 Ок</t>
  </si>
  <si>
    <t xml:space="preserve">10х10 Шар Сарик</t>
  </si>
  <si>
    <t xml:space="preserve">10х10 Шар Ок</t>
  </si>
  <si>
    <t xml:space="preserve">5х5 Шар Сарик</t>
  </si>
  <si>
    <t xml:space="preserve">8х8 Шар Сарик</t>
  </si>
  <si>
    <t xml:space="preserve">Шаркона гул ок</t>
  </si>
  <si>
    <t xml:space="preserve">51-Шар Биллур №03</t>
  </si>
  <si>
    <t xml:space="preserve">76-Шар Биллур №01</t>
  </si>
  <si>
    <t xml:space="preserve">51-Шар №10 Сарик</t>
  </si>
  <si>
    <t xml:space="preserve">4х4 Шар Сарик</t>
  </si>
  <si>
    <t xml:space="preserve">51-Шар Биллур №01</t>
  </si>
  <si>
    <t xml:space="preserve">4х4 Шар Ок</t>
  </si>
  <si>
    <t xml:space="preserve">76-Шар кора</t>
  </si>
  <si>
    <t xml:space="preserve">5х5 Шар Ок</t>
  </si>
  <si>
    <t xml:space="preserve">51-Шар №09 Ок</t>
  </si>
  <si>
    <t xml:space="preserve">76-Шар Биллур №03</t>
  </si>
  <si>
    <t xml:space="preserve">8х8 Шар Ок</t>
  </si>
  <si>
    <t xml:space="preserve">76-Шар Биллур №04</t>
  </si>
  <si>
    <t xml:space="preserve">Шаркона гул сарик</t>
  </si>
  <si>
    <t xml:space="preserve">51-Шар №12 Сарик</t>
  </si>
  <si>
    <t xml:space="preserve">76-Шар №05 Ок</t>
  </si>
  <si>
    <t xml:space="preserve">76-Шар №06 Сарик</t>
  </si>
  <si>
    <t xml:space="preserve">51-Шар Биллур №02</t>
  </si>
  <si>
    <t xml:space="preserve">76-Шар Голд</t>
  </si>
  <si>
    <t xml:space="preserve">51-Шар Биллур №04</t>
  </si>
  <si>
    <t xml:space="preserve">76-Шар Биллур №02</t>
  </si>
  <si>
    <t xml:space="preserve">51-Шар №06 Сарик</t>
  </si>
  <si>
    <t xml:space="preserve">51-Шар кора</t>
  </si>
  <si>
    <t xml:space="preserve">51-Шар №05 Ок</t>
  </si>
  <si>
    <t xml:space="preserve">76-Шар №11</t>
  </si>
  <si>
    <t xml:space="preserve">Бассен шаршара Комп</t>
  </si>
  <si>
    <t xml:space="preserve">Шарнир 30</t>
  </si>
  <si>
    <t xml:space="preserve">Шарнир 32</t>
  </si>
  <si>
    <t xml:space="preserve">Шарнир 35</t>
  </si>
  <si>
    <t xml:space="preserve">Шарнир 38</t>
  </si>
  <si>
    <t xml:space="preserve">Шаршара Янгилик</t>
  </si>
  <si>
    <t xml:space="preserve">51-Отвод №-01</t>
  </si>
  <si>
    <t xml:space="preserve">Механик отвод-51</t>
  </si>
  <si>
    <t xml:space="preserve">16-Отвод №-01</t>
  </si>
  <si>
    <t xml:space="preserve">19-Отвод №-01</t>
  </si>
  <si>
    <t xml:space="preserve">38-Отвод №-01</t>
  </si>
  <si>
    <t xml:space="preserve">Механик отвод-16</t>
  </si>
  <si>
    <t xml:space="preserve">25-Отвод №-01</t>
  </si>
  <si>
    <t xml:space="preserve">32-Отвод №-01</t>
  </si>
  <si>
    <t xml:space="preserve">51-Отвод №-02</t>
  </si>
  <si>
    <t xml:space="preserve">Механик отвод-19</t>
  </si>
  <si>
    <t xml:space="preserve">63-Отвод №-01 </t>
  </si>
  <si>
    <t xml:space="preserve">25х25 Отвод</t>
  </si>
  <si>
    <t xml:space="preserve">32-Отвод 304 марка</t>
  </si>
  <si>
    <t xml:space="preserve">51-Отвод 304 марка</t>
  </si>
  <si>
    <t xml:space="preserve">Механик отвод-51 (Голд)</t>
  </si>
  <si>
    <t xml:space="preserve">76-Отвод 304 марка</t>
  </si>
  <si>
    <t xml:space="preserve">102-Отвод 304 марка</t>
  </si>
  <si>
    <t xml:space="preserve">114-Отвод 304 марка</t>
  </si>
  <si>
    <t xml:space="preserve">25-Отвод 304 марка</t>
  </si>
  <si>
    <t xml:space="preserve">63-Отвод 304 марка</t>
  </si>
  <si>
    <t xml:space="preserve">50х50-отвод</t>
  </si>
  <si>
    <t xml:space="preserve">51-отвод №04 (Голд)</t>
  </si>
  <si>
    <t xml:space="preserve">89-Отвод 304 марка</t>
  </si>
  <si>
    <t xml:space="preserve">159-Отвод 304 марка</t>
  </si>
  <si>
    <t xml:space="preserve">127-Отвод 304 марка</t>
  </si>
  <si>
    <t xml:space="preserve">51-отвод №05 (Голд)</t>
  </si>
  <si>
    <t xml:space="preserve">40х40-отвод </t>
  </si>
  <si>
    <t xml:space="preserve">19-Отвод 304 марка</t>
  </si>
  <si>
    <t xml:space="preserve">30х30 Отвод</t>
  </si>
  <si>
    <t xml:space="preserve">219-Отвод 304 марка</t>
  </si>
  <si>
    <t xml:space="preserve">38-отвод №05 (Голд)</t>
  </si>
  <si>
    <t xml:space="preserve">Механик отвод-51 №02</t>
  </si>
  <si>
    <t xml:space="preserve">16-Отвод 304 марка</t>
  </si>
  <si>
    <t xml:space="preserve">19х19 Отвод</t>
  </si>
  <si>
    <t xml:space="preserve">38-отвод №05</t>
  </si>
  <si>
    <t xml:space="preserve">51-Отвод №-03</t>
  </si>
  <si>
    <t xml:space="preserve">51-отвод №05</t>
  </si>
  <si>
    <t xml:space="preserve">51-Кузикорин</t>
  </si>
  <si>
    <t xml:space="preserve">51-Кузикорин кишик</t>
  </si>
  <si>
    <t xml:space="preserve">38-Кузикорин</t>
  </si>
  <si>
    <t xml:space="preserve">32-Кузикорин кишик</t>
  </si>
  <si>
    <t xml:space="preserve">32-Кузикорин</t>
  </si>
  <si>
    <t xml:space="preserve">38-Кузикорин кишик</t>
  </si>
  <si>
    <t xml:space="preserve">51-Кузикорин кишик (Голд)</t>
  </si>
  <si>
    <t xml:space="preserve">51-Кузикорин ( Голд)</t>
  </si>
  <si>
    <t xml:space="preserve">25-Кузикорин</t>
  </si>
  <si>
    <t xml:space="preserve">25-Кузикорин кишик</t>
  </si>
  <si>
    <t xml:space="preserve">38-Кузикорин (Голд)</t>
  </si>
  <si>
    <t xml:space="preserve">38-Кузикорин кишик (Голд)</t>
  </si>
  <si>
    <t xml:space="preserve">51х45 ст. 0,8-Кузикорин кийшик</t>
  </si>
  <si>
    <t xml:space="preserve">Совун- кичик (Ок)</t>
  </si>
  <si>
    <t xml:space="preserve">Совун 6-бурчак (Ок)</t>
  </si>
  <si>
    <t xml:space="preserve">Совун- катта (Ок)</t>
  </si>
  <si>
    <t xml:space="preserve">Совун- 8К</t>
  </si>
  <si>
    <t xml:space="preserve">Совун А-5 (Хаворанг)</t>
  </si>
  <si>
    <t xml:space="preserve">Совун - болотовый</t>
  </si>
  <si>
    <t xml:space="preserve">Совун А-5 (Пушти)</t>
  </si>
  <si>
    <t xml:space="preserve">Совун А86</t>
  </si>
  <si>
    <t xml:space="preserve">Анкел пласт</t>
  </si>
  <si>
    <t xml:space="preserve">Ножка пласт</t>
  </si>
  <si>
    <t xml:space="preserve">Ойна держатель №-01 Глянц (Ф)</t>
  </si>
  <si>
    <t xml:space="preserve">Тош 107х1,6</t>
  </si>
  <si>
    <t xml:space="preserve">Грубый №01</t>
  </si>
  <si>
    <t xml:space="preserve">Мелкий</t>
  </si>
  <si>
    <t xml:space="preserve">Пласт-16</t>
  </si>
  <si>
    <t xml:space="preserve">Капрон №-01</t>
  </si>
  <si>
    <t xml:space="preserve">Пласт-25х25 №01</t>
  </si>
  <si>
    <t xml:space="preserve">Ойна держатель №-02 Глянц (П)</t>
  </si>
  <si>
    <t xml:space="preserve">Намат №-01</t>
  </si>
  <si>
    <t xml:space="preserve">Пласт-20х10</t>
  </si>
  <si>
    <t xml:space="preserve">Тугма (0,25)</t>
  </si>
  <si>
    <t xml:space="preserve">Пистон-51</t>
  </si>
  <si>
    <t xml:space="preserve">Пистон-16</t>
  </si>
  <si>
    <t xml:space="preserve">Пласт-20х20 №01</t>
  </si>
  <si>
    <t xml:space="preserve">Серый</t>
  </si>
  <si>
    <t xml:space="preserve">51-Пистон (танга)</t>
  </si>
  <si>
    <t xml:space="preserve">Стул ойокчаси №04</t>
  </si>
  <si>
    <t xml:space="preserve">Пистон-19</t>
  </si>
  <si>
    <t xml:space="preserve">Анкел.кг</t>
  </si>
  <si>
    <t xml:space="preserve">Муйлов гул сарик №-01</t>
  </si>
  <si>
    <t xml:space="preserve">Вольфрам-1,6</t>
  </si>
  <si>
    <t xml:space="preserve">Пласт-30х30</t>
  </si>
  <si>
    <t xml:space="preserve">Пистон-25</t>
  </si>
  <si>
    <t xml:space="preserve">Гладкий 5 (Немерный) </t>
  </si>
  <si>
    <t xml:space="preserve">Стул ойокчаси №05</t>
  </si>
  <si>
    <t xml:space="preserve">Пласт-19</t>
  </si>
  <si>
    <t xml:space="preserve">Пласт-40х40</t>
  </si>
  <si>
    <t xml:space="preserve">Гладкий 6 (Немерный) </t>
  </si>
  <si>
    <t xml:space="preserve">Гладкий 4 (Немерный) </t>
  </si>
  <si>
    <t xml:space="preserve">Пласт-25</t>
  </si>
  <si>
    <t xml:space="preserve">Муйлов гул ок №-01</t>
  </si>
  <si>
    <t xml:space="preserve">Узук-20х10</t>
  </si>
  <si>
    <t xml:space="preserve">Гладкий 12 (Немерный) </t>
  </si>
  <si>
    <t xml:space="preserve">25-Пистон (танга)</t>
  </si>
  <si>
    <t xml:space="preserve">Ойна держатель №-32 (43х43)</t>
  </si>
  <si>
    <t xml:space="preserve">Гладкий 8 (Немерный) </t>
  </si>
  <si>
    <t xml:space="preserve">Пласт-40х20</t>
  </si>
  <si>
    <t xml:space="preserve">Пистон-38</t>
  </si>
  <si>
    <t xml:space="preserve">Анкел 8х80 (304) №01</t>
  </si>
  <si>
    <t xml:space="preserve">Сим-1,2 (1-МЕТРЛИК)</t>
  </si>
  <si>
    <t xml:space="preserve">51х19-Пистон (танга)</t>
  </si>
  <si>
    <t xml:space="preserve">Пласт-51</t>
  </si>
  <si>
    <t xml:space="preserve">Ножка 38х38</t>
  </si>
  <si>
    <t xml:space="preserve">Текстолит-Стик</t>
  </si>
  <si>
    <t xml:space="preserve">Узук-16</t>
  </si>
  <si>
    <t xml:space="preserve">Сим-2,0</t>
  </si>
  <si>
    <t xml:space="preserve">Вольфрам-2,0</t>
  </si>
  <si>
    <t xml:space="preserve">Танга 100 000 сом</t>
  </si>
  <si>
    <t xml:space="preserve">Текстолит-механика</t>
  </si>
  <si>
    <t xml:space="preserve">Пласт-50х50</t>
  </si>
  <si>
    <t xml:space="preserve">Резьба Ташки ф-25 (1)</t>
  </si>
  <si>
    <t xml:space="preserve">Резьба Ташки ф-15 (1/2)</t>
  </si>
  <si>
    <t xml:space="preserve">Сим-1,5</t>
  </si>
  <si>
    <t xml:space="preserve">Пласт-20х20 №02</t>
  </si>
  <si>
    <t xml:space="preserve">40х40х19-Пистон (танга)</t>
  </si>
  <si>
    <t xml:space="preserve">Ошик мошик №02</t>
  </si>
  <si>
    <t xml:space="preserve">Ойна держатель №-02 Сарик (П)</t>
  </si>
  <si>
    <t xml:space="preserve">Сим-1,0 (1-МЕТРЛИК)</t>
  </si>
  <si>
    <t xml:space="preserve">Пистон-19 (Голд)</t>
  </si>
  <si>
    <t xml:space="preserve">50х50х19-Пистон (танга)</t>
  </si>
  <si>
    <t xml:space="preserve">Пласт-25х13</t>
  </si>
  <si>
    <t xml:space="preserve">Пистон-16 (Голд)</t>
  </si>
  <si>
    <t xml:space="preserve">Пистон-32</t>
  </si>
  <si>
    <t xml:space="preserve">Пласт-25х25 №02</t>
  </si>
  <si>
    <t xml:space="preserve">Тарцовка тош</t>
  </si>
  <si>
    <t xml:space="preserve">Мойка 45х45 ст. 0,8 (201 марка)</t>
  </si>
  <si>
    <t xml:space="preserve">Мачалка 50</t>
  </si>
  <si>
    <t xml:space="preserve">Ойна держатель №-06</t>
  </si>
  <si>
    <t xml:space="preserve">Кольцо 13х80</t>
  </si>
  <si>
    <t xml:space="preserve">Текстолит-Кора </t>
  </si>
  <si>
    <t xml:space="preserve">Резьба Ташки ф-20 (3/4)</t>
  </si>
  <si>
    <t xml:space="preserve">Целофан бакалашка </t>
  </si>
  <si>
    <t xml:space="preserve">Ойна держатель №-35</t>
  </si>
  <si>
    <t xml:space="preserve">Резьба Ички ф-32 (1/1/4)</t>
  </si>
  <si>
    <t xml:space="preserve">Наждак</t>
  </si>
  <si>
    <t xml:space="preserve">Найза Ф-19</t>
  </si>
  <si>
    <t xml:space="preserve">Карниз держатель №-2</t>
  </si>
  <si>
    <t xml:space="preserve">Софра</t>
  </si>
  <si>
    <t xml:space="preserve">Текстолит-Кора (6М)</t>
  </si>
  <si>
    <t xml:space="preserve">Стреч мини-рулон</t>
  </si>
  <si>
    <t xml:space="preserve">Пласт-15х15</t>
  </si>
  <si>
    <t xml:space="preserve">Мелкий №02</t>
  </si>
  <si>
    <t xml:space="preserve">Текстолит-Стик Голд</t>
  </si>
  <si>
    <t xml:space="preserve">Мис</t>
  </si>
  <si>
    <t xml:space="preserve">Гул кольца №01 Сарик</t>
  </si>
  <si>
    <t xml:space="preserve">Капалак №06 (Голд)</t>
  </si>
  <si>
    <t xml:space="preserve">Мачалка 10</t>
  </si>
  <si>
    <t xml:space="preserve">Мачалка 20</t>
  </si>
  <si>
    <t xml:space="preserve">Ножка регулировкаси</t>
  </si>
  <si>
    <t xml:space="preserve">Резьба Ички ф-15 (1/2)</t>
  </si>
  <si>
    <t xml:space="preserve">Резьба Ички ф-25 (1)</t>
  </si>
  <si>
    <t xml:space="preserve">Текстолит-механика (Голд)</t>
  </si>
  <si>
    <t xml:space="preserve">Резьба Ташки ф-32 (1/1/4)</t>
  </si>
  <si>
    <t xml:space="preserve">Текстолит-Мебелник №02 (6м)</t>
  </si>
  <si>
    <t xml:space="preserve">Ойна держатель №-23 (Ф) (Ок)</t>
  </si>
  <si>
    <t xml:space="preserve">Пистон-51 (Голд)</t>
  </si>
  <si>
    <t xml:space="preserve">Пласт-38х38</t>
  </si>
  <si>
    <t xml:space="preserve">Текстолит-Мебелник №02 </t>
  </si>
  <si>
    <t xml:space="preserve">Карниз держатель Ф-16</t>
  </si>
  <si>
    <t xml:space="preserve">Резьба Ташки ф-40 (1/1/2)</t>
  </si>
  <si>
    <t xml:space="preserve">Анкел 8х80 (304) №02</t>
  </si>
  <si>
    <t xml:space="preserve">16-Пистон (танга)</t>
  </si>
  <si>
    <t xml:space="preserve">Капалак №02</t>
  </si>
  <si>
    <t xml:space="preserve">Ойна держатель №-02 Кора (П)</t>
  </si>
  <si>
    <t xml:space="preserve">Узук-25х13</t>
  </si>
  <si>
    <t xml:space="preserve">Капалак №01 50х50</t>
  </si>
  <si>
    <t xml:space="preserve">Найза Ф-25 Голд</t>
  </si>
  <si>
    <t xml:space="preserve">Мойка 50х50 ст. 0,8 (201 марка)</t>
  </si>
  <si>
    <t xml:space="preserve">38-Пистон (танга)</t>
  </si>
  <si>
    <t xml:space="preserve">Ойна держатель №-01 Сарик (Ф)</t>
  </si>
  <si>
    <t xml:space="preserve">Ойна держатель №-23 (Ф) (Сарик)</t>
  </si>
  <si>
    <t xml:space="preserve">Гладкий 10 (Немерный) </t>
  </si>
  <si>
    <t xml:space="preserve">Гул кольца №01 Ок</t>
  </si>
  <si>
    <t xml:space="preserve">Вольфрам 2,4</t>
  </si>
  <si>
    <t xml:space="preserve">Текстолит-Мебелник  Ок №04 </t>
  </si>
  <si>
    <t xml:space="preserve">Пласт-32</t>
  </si>
  <si>
    <t xml:space="preserve">Ножка 30х30</t>
  </si>
  <si>
    <t xml:space="preserve">Квадрат 12 (Немерный)</t>
  </si>
  <si>
    <t xml:space="preserve">Найза Ф-25</t>
  </si>
  <si>
    <t xml:space="preserve">Текстолит-Мебелник  Ок №04 (6м)</t>
  </si>
  <si>
    <t xml:space="preserve">Гладкий 6 (4-МЕТРЛИК)</t>
  </si>
  <si>
    <t xml:space="preserve">Квадрат 10 (Немерный)</t>
  </si>
  <si>
    <t xml:space="preserve">Ошик мошик №01</t>
  </si>
  <si>
    <t xml:space="preserve">Ойна держатель №-32 Кора (43х43)</t>
  </si>
  <si>
    <t xml:space="preserve">Стреч 27 000 сум</t>
  </si>
  <si>
    <t xml:space="preserve">102-Пистон (танга) (304)</t>
  </si>
  <si>
    <t xml:space="preserve">Кнопка</t>
  </si>
  <si>
    <t xml:space="preserve">Ойна держатель №-42</t>
  </si>
  <si>
    <t xml:space="preserve">Капалак №01 Ф-51</t>
  </si>
  <si>
    <t xml:space="preserve">Доллар гул)</t>
  </si>
  <si>
    <t xml:space="preserve">Квадрат 8 (Немерный)</t>
  </si>
  <si>
    <t xml:space="preserve">Гладкий 10 (4-МЕТРЛИК)</t>
  </si>
  <si>
    <t xml:space="preserve">Резьба Ички ф-40 (1/1/2)</t>
  </si>
  <si>
    <t xml:space="preserve">Найза Ф-19 Голд</t>
  </si>
  <si>
    <t xml:space="preserve">Гладкий 14 (Немерный) </t>
  </si>
  <si>
    <t xml:space="preserve">Сим-2,5</t>
  </si>
  <si>
    <t xml:space="preserve">Держай №-2</t>
  </si>
  <si>
    <t xml:space="preserve">Планка-10х10</t>
  </si>
  <si>
    <t xml:space="preserve">40х40-Пистон (танга)</t>
  </si>
  <si>
    <t xml:space="preserve">Капрон №02  (Кизил)</t>
  </si>
  <si>
    <t xml:space="preserve">Грубый №02</t>
  </si>
  <si>
    <t xml:space="preserve">Резьба Ички ф-20 (3/4)</t>
  </si>
  <si>
    <t xml:space="preserve">Квадрат 6 (Немерный)</t>
  </si>
  <si>
    <t xml:space="preserve">Узук-19</t>
  </si>
  <si>
    <t xml:space="preserve">Болд гайка (Беланчек)</t>
  </si>
  <si>
    <t xml:space="preserve">Капалак №04 40х40</t>
  </si>
  <si>
    <t xml:space="preserve">Пистон-32 (Голд)</t>
  </si>
  <si>
    <t xml:space="preserve">Тош 107х1,6 (кизил)</t>
  </si>
  <si>
    <t xml:space="preserve">Пласт-30х15</t>
  </si>
  <si>
    <t xml:space="preserve">Резьба Ташки ф-50 (2)</t>
  </si>
  <si>
    <t xml:space="preserve">Тусик - (Аркони) </t>
  </si>
  <si>
    <t xml:space="preserve">Кольцо 19х100</t>
  </si>
  <si>
    <t xml:space="preserve">Болгарка</t>
  </si>
  <si>
    <t xml:space="preserve">Текстолит-Мебелник №06</t>
  </si>
  <si>
    <t xml:space="preserve">Гул кольца №03 Сарик</t>
  </si>
  <si>
    <t xml:space="preserve">Сверло №-02 (12 мм.)</t>
  </si>
  <si>
    <t xml:space="preserve">Стреч 26500 сум</t>
  </si>
  <si>
    <t xml:space="preserve">Шлифовка №01</t>
  </si>
  <si>
    <t xml:space="preserve">Квадрат 14 (Немерный)</t>
  </si>
  <si>
    <t xml:space="preserve">Квадрат 4 (Немерный)</t>
  </si>
  <si>
    <t xml:space="preserve">Синтфон</t>
  </si>
  <si>
    <t xml:space="preserve">Ойна держатель №-28</t>
  </si>
  <si>
    <t xml:space="preserve">Узум гул ф-25</t>
  </si>
  <si>
    <t xml:space="preserve">76х63-Переходник (Байрок)</t>
  </si>
  <si>
    <t xml:space="preserve">Ойна держатель №-04</t>
  </si>
  <si>
    <t xml:space="preserve">(ДПК) Пол Оранжевый (150х25х5800)</t>
  </si>
  <si>
    <t xml:space="preserve">Кольцо 13х100</t>
  </si>
  <si>
    <t xml:space="preserve">Ойна держатель №-25</t>
  </si>
  <si>
    <t xml:space="preserve">63х51-Переходник (Байрок)</t>
  </si>
  <si>
    <t xml:space="preserve">Ойна держатель №-26</t>
  </si>
  <si>
    <t xml:space="preserve">Айлана механизм</t>
  </si>
  <si>
    <t xml:space="preserve">Дуппи-40</t>
  </si>
  <si>
    <t xml:space="preserve">201 Полировка</t>
  </si>
  <si>
    <t xml:space="preserve">Текстолит Глянц 40х40 ст. 0.9 (15х15)</t>
  </si>
  <si>
    <t xml:space="preserve">Ойна держатель №-27</t>
  </si>
  <si>
    <t xml:space="preserve">Капалак гул ок</t>
  </si>
  <si>
    <t xml:space="preserve">Узум гул Сарик ф-19</t>
  </si>
  <si>
    <t xml:space="preserve">Ойна держатель №-01 Кора (Ф)</t>
  </si>
  <si>
    <t xml:space="preserve">Узум гул ф-19</t>
  </si>
  <si>
    <t xml:space="preserve">Ойна держатель №-22</t>
  </si>
  <si>
    <t xml:space="preserve">Резьба Ички ф-65 (2/1/2)</t>
  </si>
  <si>
    <t xml:space="preserve">Гул кольца №-03 Ок</t>
  </si>
  <si>
    <t xml:space="preserve">Пуржина (качалега)</t>
  </si>
  <si>
    <t xml:space="preserve">Пласт-38</t>
  </si>
  <si>
    <t xml:space="preserve">Капалак №04 50х50</t>
  </si>
  <si>
    <t xml:space="preserve">Мойка 45х45 ст. 0,8 (304 марка)</t>
  </si>
  <si>
    <t xml:space="preserve">Намат №-02</t>
  </si>
  <si>
    <t xml:space="preserve">Ойна держатель №-21</t>
  </si>
  <si>
    <t xml:space="preserve">Ошик мошик №04</t>
  </si>
  <si>
    <t xml:space="preserve">Дуппи-50</t>
  </si>
  <si>
    <t xml:space="preserve">Кольцо 13х120</t>
  </si>
  <si>
    <t xml:space="preserve">Гладкий 8 (4-МЕТРЛИК)</t>
  </si>
  <si>
    <t xml:space="preserve">Текстолит-51 №3 </t>
  </si>
  <si>
    <t xml:space="preserve">Дуппи-100</t>
  </si>
  <si>
    <t xml:space="preserve">Наждак-02</t>
  </si>
  <si>
    <t xml:space="preserve">Резьба Ташки ф-65 (2/1/2)</t>
  </si>
  <si>
    <t xml:space="preserve">Саморез 1,6 (Кг)</t>
  </si>
  <si>
    <t xml:space="preserve">Гул кольца №02 Сарик</t>
  </si>
  <si>
    <t xml:space="preserve">32-Пистон (танга)</t>
  </si>
  <si>
    <t xml:space="preserve">Махсус крем</t>
  </si>
  <si>
    <t xml:space="preserve">Текстолит-51 №4 </t>
  </si>
  <si>
    <t xml:space="preserve">Гул кольца №-02 Ок</t>
  </si>
  <si>
    <t xml:space="preserve">Кабель 8 метр №01</t>
  </si>
  <si>
    <t xml:space="preserve">Галтак ок</t>
  </si>
  <si>
    <t xml:space="preserve">Ролик (Байрок)</t>
  </si>
  <si>
    <t xml:space="preserve">89х76-Переходник (Байрок)</t>
  </si>
  <si>
    <t xml:space="preserve">Редуктор-1талик №04</t>
  </si>
  <si>
    <t xml:space="preserve">Бур №-01 (200х12)</t>
  </si>
  <si>
    <t xml:space="preserve">Ок материал гулик 131 </t>
  </si>
  <si>
    <t xml:space="preserve">Найза №-01</t>
  </si>
  <si>
    <t xml:space="preserve">Мармит жом 33х27х10</t>
  </si>
  <si>
    <t xml:space="preserve">Бур №-01 (160х12)</t>
  </si>
  <si>
    <t xml:space="preserve">Бассен турбалик</t>
  </si>
  <si>
    <t xml:space="preserve">Сварка аппарат</t>
  </si>
  <si>
    <t xml:space="preserve">Гарелка </t>
  </si>
  <si>
    <t xml:space="preserve">Сим-1,5 (1-МЕТРЛИК)</t>
  </si>
  <si>
    <t xml:space="preserve">76-Пистон (танга) (304)</t>
  </si>
  <si>
    <t xml:space="preserve">Текстолит-51 №5 </t>
  </si>
  <si>
    <t xml:space="preserve">Сверло №-03 (12 мм.)</t>
  </si>
  <si>
    <t xml:space="preserve">Ойна держатель №-33 (Ф)</t>
  </si>
  <si>
    <t xml:space="preserve">Текстолит-тент (2м)</t>
  </si>
  <si>
    <t xml:space="preserve">Ойна держатель №-13</t>
  </si>
  <si>
    <t xml:space="preserve">Болгарка (Boda)</t>
  </si>
  <si>
    <t xml:space="preserve">Ойна держатель №-41 (Ф)</t>
  </si>
  <si>
    <t xml:space="preserve">Ойна держатель №-16 (Мат)</t>
  </si>
  <si>
    <t xml:space="preserve">Текстолит. 60х47 ст 0,9 (5,8 м) </t>
  </si>
  <si>
    <t xml:space="preserve">Ойна держатель №-20</t>
  </si>
  <si>
    <t xml:space="preserve">Ножка 25х25</t>
  </si>
  <si>
    <t xml:space="preserve">Ойна держатель №-12</t>
  </si>
  <si>
    <t xml:space="preserve">Ножка 50х50</t>
  </si>
  <si>
    <t xml:space="preserve">Дуппи-25</t>
  </si>
  <si>
    <t xml:space="preserve">Ойна держатель №-31 (40х40)</t>
  </si>
  <si>
    <t xml:space="preserve">Ошик мошик №03</t>
  </si>
  <si>
    <t xml:space="preserve">Сверло №-02 (8 мм.)</t>
  </si>
  <si>
    <t xml:space="preserve">Дуппи-30</t>
  </si>
  <si>
    <t xml:space="preserve">Планка-10х10 голд</t>
  </si>
  <si>
    <t xml:space="preserve">Кабель 8 метр №02</t>
  </si>
  <si>
    <t xml:space="preserve">(Голд) Текстолит 76 ст. 0,9 (5,8 м)</t>
  </si>
  <si>
    <t xml:space="preserve">Текстолит Пистон 51</t>
  </si>
  <si>
    <t xml:space="preserve">Держай №-1</t>
  </si>
  <si>
    <t xml:space="preserve">51х38-Переходник (Байрок)</t>
  </si>
  <si>
    <t xml:space="preserve">Текстолит-Мебелник №01</t>
  </si>
  <si>
    <t xml:space="preserve">Мойка 75х45 ст. 0,8 (201 марка)</t>
  </si>
  <si>
    <t xml:space="preserve">Гладкий 12 (4-МЕТРЛИК)</t>
  </si>
  <si>
    <t xml:space="preserve">Мойка 50х50 ст. 0,8 (304 марка)</t>
  </si>
  <si>
    <t xml:space="preserve">Ойна держатель №-34</t>
  </si>
  <si>
    <t xml:space="preserve">Лист ст 2.0 (1250х2500) (кора металл) Универсаль</t>
  </si>
  <si>
    <t xml:space="preserve">Осма качеле рамкаси  №2 (2 талик)</t>
  </si>
  <si>
    <t xml:space="preserve">Муйлов гул ок №-02</t>
  </si>
  <si>
    <t xml:space="preserve">Ошик мошик №05</t>
  </si>
  <si>
    <t xml:space="preserve">Сим-0,8 (полуавтомат сварка)</t>
  </si>
  <si>
    <t xml:space="preserve">Сварка аппарат Сарик</t>
  </si>
  <si>
    <t xml:space="preserve">Найза №-04</t>
  </si>
  <si>
    <t xml:space="preserve">Текстолит-51 №2 </t>
  </si>
  <si>
    <t xml:space="preserve">Гладкий 10 (4-МЕТРЛИК) (304 марка)</t>
  </si>
  <si>
    <t xml:space="preserve">Ойна держатель №-14</t>
  </si>
  <si>
    <t xml:space="preserve">89-Пистон (танга) (304)</t>
  </si>
  <si>
    <t xml:space="preserve">Редуктор-1талик №03</t>
  </si>
  <si>
    <t xml:space="preserve">Капалак гул сарик</t>
  </si>
  <si>
    <t xml:space="preserve">Гладкий 12 (4-МЕТРЛИК) (304 марка)</t>
  </si>
  <si>
    <t xml:space="preserve">Ойна держатель №-36 Голд</t>
  </si>
  <si>
    <t xml:space="preserve">(ДПК) Угольник (50х50х5800)</t>
  </si>
  <si>
    <t xml:space="preserve">Текстолит-Мебелник №03 </t>
  </si>
  <si>
    <t xml:space="preserve">Текстолит-51 Кора </t>
  </si>
  <si>
    <t xml:space="preserve">Текстолит 60х40 ст 0,9 (6 м)  </t>
  </si>
  <si>
    <t xml:space="preserve">Ойна держатель №-07 (П) (Глянц)</t>
  </si>
  <si>
    <t xml:space="preserve">Мармит жом 54х33х10</t>
  </si>
  <si>
    <t xml:space="preserve">Амбар </t>
  </si>
  <si>
    <t xml:space="preserve">Газ плита 4 талик</t>
  </si>
  <si>
    <t xml:space="preserve">Материал  кора</t>
  </si>
  <si>
    <t xml:space="preserve">Текстолит 76 ст. 0,9 (5,8м)</t>
  </si>
  <si>
    <t xml:space="preserve">Сверло №-01 (6 мм.)</t>
  </si>
  <si>
    <t xml:space="preserve">Йогоч текстолит №01</t>
  </si>
  <si>
    <t xml:space="preserve">Редуктор-1талик №01</t>
  </si>
  <si>
    <t xml:space="preserve">Сим-1,0</t>
  </si>
  <si>
    <t xml:space="preserve">Мармит жом 33х18х10</t>
  </si>
  <si>
    <t xml:space="preserve">Кольцо 16х100</t>
  </si>
  <si>
    <t xml:space="preserve">Ойна держатель №-15</t>
  </si>
  <si>
    <t xml:space="preserve">Капалак №05</t>
  </si>
  <si>
    <t xml:space="preserve">Мармит жом 54х33х15</t>
  </si>
  <si>
    <t xml:space="preserve">Ойна держатель №-41 Кора (П)</t>
  </si>
  <si>
    <t xml:space="preserve">Мармит жом 54х33х20</t>
  </si>
  <si>
    <t xml:space="preserve">19-Пистон (танга)</t>
  </si>
  <si>
    <t xml:space="preserve">Мармит жом 33х27х15</t>
  </si>
  <si>
    <t xml:space="preserve">Тусик - Аркон</t>
  </si>
  <si>
    <t xml:space="preserve">(Голд) Текстолит 76 ст. 0,92</t>
  </si>
  <si>
    <t xml:space="preserve">Ойна держатель №-24 (П) (Сарик)</t>
  </si>
  <si>
    <t xml:space="preserve">Сверло №-01 (5 мм.)</t>
  </si>
  <si>
    <t xml:space="preserve">Капалак №03</t>
  </si>
  <si>
    <t xml:space="preserve">Шлифовка №07</t>
  </si>
  <si>
    <t xml:space="preserve">Самовор ст 1,2  304 маркалик (120 литр)</t>
  </si>
  <si>
    <t xml:space="preserve">Осма качеле №2 </t>
  </si>
  <si>
    <t xml:space="preserve">Шлифовка №04</t>
  </si>
  <si>
    <t xml:space="preserve">Сверло №-01 (8 мм.)</t>
  </si>
  <si>
    <t xml:space="preserve">Масса</t>
  </si>
  <si>
    <t xml:space="preserve">Бассен Листлик</t>
  </si>
  <si>
    <t xml:space="preserve">Мармит жом 33х27х20</t>
  </si>
  <si>
    <t xml:space="preserve">Шлифовка №03</t>
  </si>
  <si>
    <t xml:space="preserve">Текстолит-Кора №08 (745) (6М)</t>
  </si>
  <si>
    <t xml:space="preserve">Ойна держатель №-05</t>
  </si>
  <si>
    <t xml:space="preserve">Самовор ст 1,2  304 маркалик (80 литр)</t>
  </si>
  <si>
    <t xml:space="preserve">Паска аппарат</t>
  </si>
  <si>
    <t xml:space="preserve">Текстолит-тент (1м)</t>
  </si>
  <si>
    <t xml:space="preserve">Ойна держатель №-30</t>
  </si>
  <si>
    <t xml:space="preserve">Текстолит Голд 60х40 ст 0,9 (6 м)  </t>
  </si>
  <si>
    <t xml:space="preserve">Систерна 1000 литрлик 304</t>
  </si>
  <si>
    <t xml:space="preserve">Трубогиб Ф-16 </t>
  </si>
  <si>
    <t xml:space="preserve">Текстолит 60х40 ст 0,9 (5 м)  </t>
  </si>
  <si>
    <t xml:space="preserve">Качале рамкаси  Пр 4х4 (haytek)</t>
  </si>
  <si>
    <t xml:space="preserve">Тухум качеле </t>
  </si>
  <si>
    <t xml:space="preserve">Сим-2,4 (1-МЕТРЛИК) </t>
  </si>
  <si>
    <t xml:space="preserve">Ойна держатель №-07 (Ф) (Глянц)</t>
  </si>
  <si>
    <t xml:space="preserve">Текстолит 76 ст. 0,92</t>
  </si>
  <si>
    <t xml:space="preserve">Газ плита 2 талик</t>
  </si>
  <si>
    <t xml:space="preserve">Тарцовка</t>
  </si>
  <si>
    <t xml:space="preserve">Трубогиб 20х10 </t>
  </si>
  <si>
    <t xml:space="preserve">Качели №03</t>
  </si>
  <si>
    <t xml:space="preserve">Тарцовка (Boda)</t>
  </si>
  <si>
    <t xml:space="preserve">Редуктор-1талик №02</t>
  </si>
  <si>
    <t xml:space="preserve">Газ плита 6 талик</t>
  </si>
  <si>
    <t xml:space="preserve">(ДПК) Панель Оранжевый (219х26х5800)</t>
  </si>
  <si>
    <t xml:space="preserve">Трубогиб Ф-22 </t>
  </si>
  <si>
    <t xml:space="preserve">Кольцо 100 (20х10)</t>
  </si>
  <si>
    <t xml:space="preserve">Резьба Ички ф-50 (2)</t>
  </si>
  <si>
    <t xml:space="preserve">Кольцо 120 (20х10)</t>
  </si>
  <si>
    <t xml:space="preserve">Сверло №-02 (20 мм.)</t>
  </si>
  <si>
    <t xml:space="preserve">Газ плита 3 талик</t>
  </si>
  <si>
    <t xml:space="preserve">Йогоч текстолит №02</t>
  </si>
  <si>
    <t xml:space="preserve">Текстолит-Мебелник №07 (745) (6м)</t>
  </si>
  <si>
    <t xml:space="preserve">Фильтр (201 йоки 304) №03</t>
  </si>
  <si>
    <t xml:space="preserve">Кислород баллон-14 (Хитой)</t>
  </si>
  <si>
    <t xml:space="preserve">Редуктор-2талик</t>
  </si>
  <si>
    <t xml:space="preserve">Ойна держатель №-11</t>
  </si>
  <si>
    <t xml:space="preserve">Гидроколлектор 4 талик </t>
  </si>
  <si>
    <t xml:space="preserve">Сварка аппарат Sinebe</t>
  </si>
  <si>
    <t xml:space="preserve">Ойна держатель №-33 (П)</t>
  </si>
  <si>
    <t xml:space="preserve">Гидроколлектор 3 талик </t>
  </si>
  <si>
    <t xml:space="preserve">Мачалка 30</t>
  </si>
  <si>
    <t xml:space="preserve">Мармит жом 33х18х20</t>
  </si>
  <si>
    <t xml:space="preserve">Гидроколлектор 5 талик </t>
  </si>
  <si>
    <t xml:space="preserve">Текстолит Глянц 80х40 ст. 1.0 (15х15)</t>
  </si>
  <si>
    <t xml:space="preserve">Дуппи-80</t>
  </si>
  <si>
    <t xml:space="preserve">Текстолит-Мебелник №01 (6 м)</t>
  </si>
  <si>
    <t xml:space="preserve">Бур №-01 (160х14)</t>
  </si>
  <si>
    <t xml:space="preserve">Гул кольца №-04 Ок</t>
  </si>
  <si>
    <t xml:space="preserve">Тент (ф-76)</t>
  </si>
  <si>
    <t xml:space="preserve">Ойна держатель №-08</t>
  </si>
  <si>
    <t xml:space="preserve">Сверло №-02 (18 мм.)</t>
  </si>
  <si>
    <t xml:space="preserve">Шлифовка №02</t>
  </si>
  <si>
    <t xml:space="preserve">Текстолит-Мебелник №05 </t>
  </si>
  <si>
    <t xml:space="preserve">Ойна держатель №-17</t>
  </si>
  <si>
    <t xml:space="preserve">Текстолит Голд 76 ст. 1,1</t>
  </si>
  <si>
    <t xml:space="preserve">Трубогиб Ф-32 </t>
  </si>
  <si>
    <t xml:space="preserve">Качели №05 янгилик</t>
  </si>
  <si>
    <t xml:space="preserve">Тент (80х80)</t>
  </si>
  <si>
    <t xml:space="preserve">(Кора) Текстолит 76 ст. 1,1</t>
  </si>
  <si>
    <t xml:space="preserve">Карниз держатель Ф-32 </t>
  </si>
  <si>
    <t xml:space="preserve">Муйлов гул сарик №-02</t>
  </si>
  <si>
    <t xml:space="preserve">Насадка №02 (тепа)</t>
  </si>
  <si>
    <t xml:space="preserve">Ойна держатель №-18</t>
  </si>
  <si>
    <t xml:space="preserve">Систерна 550 литрлик</t>
  </si>
  <si>
    <t xml:space="preserve">Систерна 550 литрлик 304</t>
  </si>
  <si>
    <t xml:space="preserve">(Голд) Текстолит 51 ст. 1,2 (15х15)</t>
  </si>
  <si>
    <t xml:space="preserve">(ДПК) Панель Серый (219х26х5800)</t>
  </si>
  <si>
    <t xml:space="preserve">(ДПК) Пол Кофейный (150х25х5800)</t>
  </si>
  <si>
    <t xml:space="preserve">(Цех) Самовор  201 маркалик (120 литр)</t>
  </si>
  <si>
    <t xml:space="preserve">(Цех) Самовор  201 маркалик (80 литр)</t>
  </si>
  <si>
    <t xml:space="preserve">Анкел</t>
  </si>
  <si>
    <t xml:space="preserve">Анкел 120х8 Премиум</t>
  </si>
  <si>
    <t xml:space="preserve">Анкел 150х10</t>
  </si>
  <si>
    <t xml:space="preserve">Анкел 150х8</t>
  </si>
  <si>
    <t xml:space="preserve">Аргон балон</t>
  </si>
  <si>
    <t xml:space="preserve">Бассен резинаси</t>
  </si>
  <si>
    <t xml:space="preserve">Беседка</t>
  </si>
  <si>
    <t xml:space="preserve">Болгарка (Bosch)</t>
  </si>
  <si>
    <t xml:space="preserve">Болгарка (КАТТА ШЛИФОВКАНИКИ)</t>
  </si>
  <si>
    <t xml:space="preserve">Болгарка (Мебель)</t>
  </si>
  <si>
    <t xml:space="preserve">Болгарка Катта</t>
  </si>
  <si>
    <t xml:space="preserve">Бур №-01 (200х14)</t>
  </si>
  <si>
    <t xml:space="preserve">Вальцовка станок №-01</t>
  </si>
  <si>
    <t xml:space="preserve">Вальцовка станок №-02</t>
  </si>
  <si>
    <t xml:space="preserve">Вальцовка станок №-03</t>
  </si>
  <si>
    <t xml:space="preserve">Ватина</t>
  </si>
  <si>
    <t xml:space="preserve">Вешилка (Тахоратхонага)</t>
  </si>
  <si>
    <t xml:space="preserve">Винтелятор</t>
  </si>
  <si>
    <t xml:space="preserve">Газ Вытишкаси</t>
  </si>
  <si>
    <t xml:space="preserve">Газ плита 1 талик</t>
  </si>
  <si>
    <t xml:space="preserve">Газовая плита (Сатурн)</t>
  </si>
  <si>
    <t xml:space="preserve">Газовая плита настольная (Сатурн)</t>
  </si>
  <si>
    <t xml:space="preserve">Галтак голд</t>
  </si>
  <si>
    <t xml:space="preserve">Гидроколлектор (50 см лик)</t>
  </si>
  <si>
    <t xml:space="preserve">Гидроколлектор 8х8 профллик 50см</t>
  </si>
  <si>
    <t xml:space="preserve">Гидроколлектор бачок</t>
  </si>
  <si>
    <t xml:space="preserve">Гладкий 14 (6-МЕТРЛИК)</t>
  </si>
  <si>
    <t xml:space="preserve">Гладкий 16 (6-МЕТРЛИК)</t>
  </si>
  <si>
    <t xml:space="preserve">Гладкий 25 (6-МЕТРЛИК)</t>
  </si>
  <si>
    <t xml:space="preserve">Гладкий 35 (4-МЕТРЛИК) (304 марка)</t>
  </si>
  <si>
    <t xml:space="preserve">Гладкий 42 (4-МЕТРЛИК) (304 марка)</t>
  </si>
  <si>
    <t xml:space="preserve">Гладкий 8 (4-МЕТРЛИК) (304 марка)</t>
  </si>
  <si>
    <t xml:space="preserve">Голд магиз</t>
  </si>
  <si>
    <t xml:space="preserve">Движок (кичик)</t>
  </si>
  <si>
    <t xml:space="preserve">Детиский Качале   (haytek)</t>
  </si>
  <si>
    <t xml:space="preserve">Дуппи-60</t>
  </si>
  <si>
    <t xml:space="preserve">Дуппи-60 Голд</t>
  </si>
  <si>
    <t xml:space="preserve">Дуппи-80 Голд</t>
  </si>
  <si>
    <t xml:space="preserve">Жарочная поверхность настольная (Сатурн)</t>
  </si>
  <si>
    <t xml:space="preserve">Йогоч текстолит №03</t>
  </si>
  <si>
    <t xml:space="preserve">КР-002 (210х170)</t>
  </si>
  <si>
    <t xml:space="preserve">Кайчи</t>
  </si>
  <si>
    <t xml:space="preserve">Капалак №07 (Голд)</t>
  </si>
  <si>
    <t xml:space="preserve">Карниз держатель Ф-25</t>
  </si>
  <si>
    <t xml:space="preserve">Карниз держатель №-3</t>
  </si>
  <si>
    <t xml:space="preserve">Катта кайчи станок</t>
  </si>
  <si>
    <t xml:space="preserve">Качале Пр 4х4 (haytek)</t>
  </si>
  <si>
    <t xml:space="preserve">Качале Пр 8х4 (haytek)</t>
  </si>
  <si>
    <t xml:space="preserve">Качели мебел 1</t>
  </si>
  <si>
    <t xml:space="preserve">Кислород баллон-10 (Хитой)</t>
  </si>
  <si>
    <t xml:space="preserve">Кислород баллон-12 (Хитой)</t>
  </si>
  <si>
    <t xml:space="preserve">Кислород баллон-40 (Хитой)</t>
  </si>
  <si>
    <t xml:space="preserve">Кислород баллон-8 (Хитой)</t>
  </si>
  <si>
    <t xml:space="preserve">Кичик шлифовка №-01</t>
  </si>
  <si>
    <t xml:space="preserve">Кичик шлифовка №-02</t>
  </si>
  <si>
    <t xml:space="preserve">Кольцо 19х120</t>
  </si>
  <si>
    <t xml:space="preserve">Компрессор </t>
  </si>
  <si>
    <t xml:space="preserve">Компрессор (GDEC)</t>
  </si>
  <si>
    <t xml:space="preserve">Компрессор 16 атм.  (иккиталик)</t>
  </si>
  <si>
    <t xml:space="preserve">Компьютерга внешне памят</t>
  </si>
  <si>
    <t xml:space="preserve">ЛС - 34 80х70 (Голд) маргилон</t>
  </si>
  <si>
    <t xml:space="preserve">Лазер Сим-0,8</t>
  </si>
  <si>
    <t xml:space="preserve">Лазер Сим-1,0</t>
  </si>
  <si>
    <t xml:space="preserve">Ламинад (Туйстолга Ойбек ака)</t>
  </si>
  <si>
    <t xml:space="preserve">Лист-0,28 (18,7) (матовый) (201 марка)</t>
  </si>
  <si>
    <t xml:space="preserve">Лист-0,28 (31,3) (матовый) (201 марка)</t>
  </si>
  <si>
    <t xml:space="preserve">Лобзик</t>
  </si>
  <si>
    <t xml:space="preserve">Мармит жом 33х18х15</t>
  </si>
  <si>
    <t xml:space="preserve">Материал 6 метр </t>
  </si>
  <si>
    <t xml:space="preserve">Материал кизил</t>
  </si>
  <si>
    <t xml:space="preserve">Мелкая шлиф. машина (Makita- M9100B)</t>
  </si>
  <si>
    <t xml:space="preserve">Метан Балон (Редуктор билан)</t>
  </si>
  <si>
    <t xml:space="preserve">Метр</t>
  </si>
  <si>
    <t xml:space="preserve">Моляр пичок</t>
  </si>
  <si>
    <t xml:space="preserve">Мышка</t>
  </si>
  <si>
    <t xml:space="preserve">Найза №-02</t>
  </si>
  <si>
    <t xml:space="preserve">Найза №-03</t>
  </si>
  <si>
    <t xml:space="preserve">Найза №-05</t>
  </si>
  <si>
    <t xml:space="preserve">Найза №-06</t>
  </si>
  <si>
    <t xml:space="preserve">Найза №-07</t>
  </si>
  <si>
    <t xml:space="preserve">Найза №-08</t>
  </si>
  <si>
    <t xml:space="preserve">Найза №-09</t>
  </si>
  <si>
    <t xml:space="preserve">Найза №-10</t>
  </si>
  <si>
    <t xml:space="preserve">Найза №-11</t>
  </si>
  <si>
    <t xml:space="preserve">Найза №-12</t>
  </si>
  <si>
    <t xml:space="preserve">Найза №-13</t>
  </si>
  <si>
    <t xml:space="preserve">Насадка №01 (паст)</t>
  </si>
  <si>
    <t xml:space="preserve">Ножка 1400х500х450 (Сотув булмига) Голд</t>
  </si>
  <si>
    <t xml:space="preserve">Ножка 15х15х90 (Маргилон)Голд</t>
  </si>
  <si>
    <t xml:space="preserve">Ножка 40х10</t>
  </si>
  <si>
    <t xml:space="preserve">Ноутбук</t>
  </si>
  <si>
    <t xml:space="preserve">Ойна Замок №-01</t>
  </si>
  <si>
    <t xml:space="preserve">Ойна держатель голд</t>
  </si>
  <si>
    <t xml:space="preserve">Ойна держатель №-03</t>
  </si>
  <si>
    <t xml:space="preserve">Ойна держатель №-04 Кора </t>
  </si>
  <si>
    <t xml:space="preserve">Ойна держатель №-09</t>
  </si>
  <si>
    <t xml:space="preserve">Ойна держатель №-10</t>
  </si>
  <si>
    <t xml:space="preserve">Ойна держатель №-19</t>
  </si>
  <si>
    <t xml:space="preserve">Ойна держатель №-29</t>
  </si>
  <si>
    <t xml:space="preserve">Ойна держатель №-31 (50х50)</t>
  </si>
  <si>
    <t xml:space="preserve">Ойна держатель №-36 Глянцевый</t>
  </si>
  <si>
    <t xml:space="preserve">Ойна держатель №-36 Кора</t>
  </si>
  <si>
    <t xml:space="preserve">Ойна держатель №-37</t>
  </si>
  <si>
    <t xml:space="preserve">Ойна держатель №-38</t>
  </si>
  <si>
    <t xml:space="preserve">Ойна держатель №-39</t>
  </si>
  <si>
    <t xml:space="preserve">Ойна держатель №-40</t>
  </si>
  <si>
    <t xml:space="preserve">Ойна держатель №-43</t>
  </si>
  <si>
    <t xml:space="preserve">Ойна держатель №-44</t>
  </si>
  <si>
    <t xml:space="preserve">Ойна держатель №-45</t>
  </si>
  <si>
    <t xml:space="preserve">Ойна рамкалари</t>
  </si>
  <si>
    <t xml:space="preserve">Ойна рамкалари Голд (Сотув булми)</t>
  </si>
  <si>
    <t xml:space="preserve">Ок материал  (1,5метр)</t>
  </si>
  <si>
    <t xml:space="preserve">Ок материал (31 м)</t>
  </si>
  <si>
    <t xml:space="preserve">Омбир</t>
  </si>
  <si>
    <t xml:space="preserve">Осма качеле (Филлиалга)</t>
  </si>
  <si>
    <t xml:space="preserve">Отвёртка (Катта)</t>
  </si>
  <si>
    <t xml:space="preserve">Отвёртка (Кичик)</t>
  </si>
  <si>
    <t xml:space="preserve">Паска апарат (БУ)</t>
  </si>
  <si>
    <t xml:space="preserve">Пистолет</t>
  </si>
  <si>
    <t xml:space="preserve">Пистон-25 (Голд)</t>
  </si>
  <si>
    <t xml:space="preserve">Пистон-38 (Голд)</t>
  </si>
  <si>
    <t xml:space="preserve">Плисос</t>
  </si>
  <si>
    <t xml:space="preserve">Пресс №02 (400)</t>
  </si>
  <si>
    <t xml:space="preserve">Пресс №03 (500)</t>
  </si>
  <si>
    <t xml:space="preserve">Пресс №04 (600)</t>
  </si>
  <si>
    <t xml:space="preserve">Пресс №05 (800)</t>
  </si>
  <si>
    <t xml:space="preserve">Пресс №06 (1000)</t>
  </si>
  <si>
    <t xml:space="preserve">Пропан балон</t>
  </si>
  <si>
    <t xml:space="preserve">Профил сирга</t>
  </si>
  <si>
    <t xml:space="preserve">Рамка 25х25 профилдан булган</t>
  </si>
  <si>
    <t xml:space="preserve">Рация Blofeng</t>
  </si>
  <si>
    <t xml:space="preserve">Резина молоток</t>
  </si>
  <si>
    <t xml:space="preserve">Ромашка гул 60 см</t>
  </si>
  <si>
    <t xml:space="preserve">Ромашка гул 80 см</t>
  </si>
  <si>
    <t xml:space="preserve">Рулон Лист ст. 0,6  (200х100) (430 марка)</t>
  </si>
  <si>
    <t xml:space="preserve">Ручка 30х30 пр ва 20х20 пр дан булган </t>
  </si>
  <si>
    <t xml:space="preserve">Саморез 3,0 (Кг)</t>
  </si>
  <si>
    <t xml:space="preserve">Саморез 4,0 (Кг)</t>
  </si>
  <si>
    <t xml:space="preserve">Сварка аппарат (Имплус)</t>
  </si>
  <si>
    <t xml:space="preserve">Сверло №-02 (10 мм.)</t>
  </si>
  <si>
    <t xml:space="preserve">Сверло №-02 (14 мм.)</t>
  </si>
  <si>
    <t xml:space="preserve">Сим-1,0 (лазер сварка)</t>
  </si>
  <si>
    <t xml:space="preserve">Систерна 1000 литрлик</t>
  </si>
  <si>
    <t xml:space="preserve">Систерна 2000 литрлик </t>
  </si>
  <si>
    <t xml:space="preserve">Систерна 3000 литрлик 304</t>
  </si>
  <si>
    <t xml:space="preserve">Сув трубаси (Рашмилк)</t>
  </si>
  <si>
    <t xml:space="preserve">Тарцовка  (кора темир)</t>
  </si>
  <si>
    <t xml:space="preserve">Тарцофка резка</t>
  </si>
  <si>
    <t xml:space="preserve">Текстолит 60х50 ст 0,9 (6 м)  </t>
  </si>
  <si>
    <t xml:space="preserve">Текстолит Глянц 40х40 ст. 1.1 (15х15)</t>
  </si>
  <si>
    <t xml:space="preserve">Текстолит Глянц 51 ст. 0.8 (15х15)</t>
  </si>
  <si>
    <t xml:space="preserve">Текстолит Глянц 51 ст. 0.9 (15х15)</t>
  </si>
  <si>
    <t xml:space="preserve">Текстолит Глянц 51 ст. 1.2 (15хх15)</t>
  </si>
  <si>
    <t xml:space="preserve">Текстолит Голд 64х50 ст 0,9 (6 м)  </t>
  </si>
  <si>
    <t xml:space="preserve">Текстолит-51 №1 </t>
  </si>
  <si>
    <t xml:space="preserve">Текстолит-Стик 745</t>
  </si>
  <si>
    <t xml:space="preserve">Текстолит-механика 745</t>
  </si>
  <si>
    <t xml:space="preserve">Телевизор 42 ли (Сабер теч 4К)</t>
  </si>
  <si>
    <t xml:space="preserve">Темир молоток</t>
  </si>
  <si>
    <t xml:space="preserve">Тент (Лист 2-талик)</t>
  </si>
  <si>
    <t xml:space="preserve">Тент (ф-89)  304</t>
  </si>
  <si>
    <t xml:space="preserve">Трап 1 метрлик (Бобур ака)</t>
  </si>
  <si>
    <t xml:space="preserve">Трубогиб 15х15</t>
  </si>
  <si>
    <t xml:space="preserve">Трубогиб 20х20</t>
  </si>
  <si>
    <t xml:space="preserve">Трубогиб 25х25 </t>
  </si>
  <si>
    <t xml:space="preserve">Трубогиб Ф-10</t>
  </si>
  <si>
    <t xml:space="preserve">Трубогиб Ф-13</t>
  </si>
  <si>
    <t xml:space="preserve">Трубогиб Ф-19 </t>
  </si>
  <si>
    <t xml:space="preserve">Трубогиб Ф-25 </t>
  </si>
  <si>
    <t xml:space="preserve">Трубогиб Ф-38 </t>
  </si>
  <si>
    <t xml:space="preserve">Трубогиб Ф-51 </t>
  </si>
  <si>
    <t xml:space="preserve">Тусик - Лента</t>
  </si>
  <si>
    <t xml:space="preserve">Тухум качале рамкаси №3</t>
  </si>
  <si>
    <t xml:space="preserve">Тухум качеле рамкаси (1 кишилик)</t>
  </si>
  <si>
    <t xml:space="preserve">Ф-19 ст 0,7 ( 6 м) (304 марка)</t>
  </si>
  <si>
    <t xml:space="preserve">Фрезер</t>
  </si>
  <si>
    <t xml:space="preserve">Хон падставкаси</t>
  </si>
  <si>
    <t xml:space="preserve">Часпак Голд 45х11 ст. 0,5 (5,8)</t>
  </si>
  <si>
    <t xml:space="preserve">Часпак Голд 65х18 ст. 0,6 (5,8)</t>
  </si>
  <si>
    <t xml:space="preserve">Чок машина</t>
  </si>
  <si>
    <t xml:space="preserve">Шкаф</t>
  </si>
  <si>
    <t xml:space="preserve">Шлифовальния машина</t>
  </si>
  <si>
    <t xml:space="preserve">Шлифовка станок</t>
  </si>
  <si>
    <t xml:space="preserve">Шлифовка №05</t>
  </si>
  <si>
    <t xml:space="preserve">Шлифовка №06</t>
  </si>
  <si>
    <t xml:space="preserve">Шлифовка №09</t>
  </si>
  <si>
    <t xml:space="preserve">Шуруповёрт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</si>
</sst>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4A6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4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186</v>
      </c>
      <c r="C2" s="2" t="n">
        <v>159</v>
      </c>
      <c r="D2" s="2" t="n">
        <v>27</v>
      </c>
      <c r="E2" s="2" t="n">
        <v>26433</v>
      </c>
    </row>
    <row r="3" customFormat="false" ht="15" hidden="false" customHeight="false" outlineLevel="0" collapsed="false">
      <c r="A3" s="2" t="s">
        <v>6</v>
      </c>
      <c r="B3" s="2" t="n">
        <v>224</v>
      </c>
      <c r="C3" s="2" t="n">
        <v>181</v>
      </c>
      <c r="D3" s="2" t="n">
        <v>43</v>
      </c>
      <c r="E3" s="2" t="n">
        <v>24306</v>
      </c>
    </row>
    <row r="4" customFormat="false" ht="15" hidden="false" customHeight="false" outlineLevel="0" collapsed="false">
      <c r="A4" s="2" t="s">
        <v>7</v>
      </c>
      <c r="B4" s="2" t="n">
        <v>135</v>
      </c>
      <c r="C4" s="2" t="n">
        <v>107</v>
      </c>
      <c r="D4" s="2" t="n">
        <v>28</v>
      </c>
      <c r="E4" s="2" t="n">
        <v>7806</v>
      </c>
    </row>
    <row r="5" customFormat="false" ht="15" hidden="false" customHeight="false" outlineLevel="0" collapsed="false">
      <c r="A5" s="2" t="s">
        <v>8</v>
      </c>
      <c r="B5" s="2" t="n">
        <v>34</v>
      </c>
      <c r="C5" s="2" t="n">
        <v>31</v>
      </c>
      <c r="D5" s="2" t="n">
        <v>3</v>
      </c>
      <c r="E5" s="2" t="n">
        <v>41632</v>
      </c>
    </row>
    <row r="6" customFormat="false" ht="15" hidden="false" customHeight="false" outlineLevel="0" collapsed="false">
      <c r="A6" s="2" t="s">
        <v>9</v>
      </c>
      <c r="B6" s="2" t="n">
        <v>117</v>
      </c>
      <c r="C6" s="2" t="n">
        <v>69</v>
      </c>
      <c r="D6" s="2" t="n">
        <v>48</v>
      </c>
      <c r="E6" s="2" t="n">
        <v>945</v>
      </c>
    </row>
    <row r="7" customFormat="false" ht="15" hidden="false" customHeight="false" outlineLevel="0" collapsed="false">
      <c r="A7" s="2" t="s">
        <v>10</v>
      </c>
      <c r="B7" s="2" t="n">
        <v>66</v>
      </c>
      <c r="C7" s="2" t="n">
        <v>56</v>
      </c>
      <c r="D7" s="2" t="n">
        <v>10</v>
      </c>
      <c r="E7" s="2" t="n">
        <v>45057</v>
      </c>
    </row>
    <row r="8" customFormat="false" ht="15" hidden="false" customHeight="false" outlineLevel="0" collapsed="false">
      <c r="A8" s="2" t="s">
        <v>11</v>
      </c>
      <c r="B8" s="2" t="n">
        <v>64</v>
      </c>
      <c r="C8" s="2" t="n">
        <v>56</v>
      </c>
      <c r="D8" s="2" t="n">
        <v>8</v>
      </c>
      <c r="E8" s="2" t="n">
        <v>9918</v>
      </c>
    </row>
    <row r="9" customFormat="false" ht="15" hidden="false" customHeight="false" outlineLevel="0" collapsed="false">
      <c r="A9" s="2" t="s">
        <v>12</v>
      </c>
      <c r="B9" s="2" t="n">
        <v>45</v>
      </c>
      <c r="C9" s="2" t="n">
        <v>37</v>
      </c>
      <c r="D9" s="2" t="n">
        <v>8</v>
      </c>
      <c r="E9" s="2" t="n">
        <v>4920</v>
      </c>
    </row>
    <row r="10" customFormat="false" ht="15" hidden="false" customHeight="false" outlineLevel="0" collapsed="false">
      <c r="A10" s="2" t="s">
        <v>13</v>
      </c>
      <c r="B10" s="2" t="n">
        <v>37</v>
      </c>
      <c r="C10" s="2" t="n">
        <v>32</v>
      </c>
      <c r="D10" s="2" t="n">
        <v>5</v>
      </c>
      <c r="E10" s="2" t="n">
        <v>11350</v>
      </c>
    </row>
    <row r="11" customFormat="false" ht="15" hidden="false" customHeight="false" outlineLevel="0" collapsed="false">
      <c r="A11" s="2" t="s">
        <v>14</v>
      </c>
      <c r="B11" s="2" t="n">
        <v>13</v>
      </c>
      <c r="C11" s="2" t="n">
        <v>12</v>
      </c>
      <c r="D11" s="2" t="n">
        <v>1</v>
      </c>
      <c r="E11" s="2" t="n">
        <v>20293</v>
      </c>
    </row>
    <row r="12" customFormat="false" ht="15" hidden="false" customHeight="false" outlineLevel="0" collapsed="false">
      <c r="A12" s="2" t="s">
        <v>15</v>
      </c>
      <c r="B12" s="2" t="n">
        <v>8</v>
      </c>
      <c r="C12" s="2" t="n">
        <v>8</v>
      </c>
      <c r="D12" s="2" t="n">
        <v>0</v>
      </c>
      <c r="E12" s="2" t="n">
        <v>1012</v>
      </c>
    </row>
    <row r="13" customFormat="false" ht="15" hidden="false" customHeight="false" outlineLevel="0" collapsed="false">
      <c r="A13" s="2" t="s">
        <v>16</v>
      </c>
      <c r="B13" s="2" t="n">
        <v>556</v>
      </c>
      <c r="C13" s="2" t="n">
        <v>364</v>
      </c>
      <c r="D13" s="2" t="n">
        <v>192</v>
      </c>
      <c r="E13" s="2" t="n">
        <v>170070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" t="s">
        <v>17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18</v>
      </c>
    </row>
    <row r="4" customFormat="false" ht="15" hidden="false" customHeight="false" outlineLevel="0" collapsed="false">
      <c r="A4" s="4" t="s">
        <v>19</v>
      </c>
    </row>
    <row r="5" customFormat="false" ht="15" hidden="false" customHeight="false" outlineLevel="0" collapsed="false">
      <c r="A5" s="4" t="s">
        <v>20</v>
      </c>
    </row>
    <row r="6" customFormat="false" ht="15" hidden="false" customHeight="false" outlineLevel="0" collapsed="false">
      <c r="A6" s="4" t="s">
        <v>21</v>
      </c>
    </row>
    <row r="7" customFormat="false" ht="15" hidden="false" customHeight="false" outlineLevel="0" collapsed="false">
      <c r="A7" s="4" t="s">
        <v>22</v>
      </c>
    </row>
    <row r="8" customFormat="false" ht="15" hidden="false" customHeight="false" outlineLevel="0" collapsed="false">
      <c r="A8" s="5" t="s">
        <v>23</v>
      </c>
    </row>
    <row r="9" customFormat="false" ht="15" hidden="false" customHeight="false" outlineLevel="0" collapsed="false">
      <c r="A9" s="4" t="s">
        <v>24</v>
      </c>
    </row>
    <row r="10" customFormat="false" ht="15" hidden="false" customHeight="false" outlineLevel="0" collapsed="false">
      <c r="A10" s="4" t="s">
        <v>25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26</v>
      </c>
    </row>
    <row r="13" customFormat="false" ht="15" hidden="false" customHeight="false" outlineLevel="0" collapsed="false">
      <c r="A13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36</v>
      </c>
      <c r="C2" s="7" t="n">
        <v>4523</v>
      </c>
      <c r="D2" s="8" t="n">
        <f aca="false">C2/SUM($C$2:$C$160)</f>
        <v>0.171111220401693</v>
      </c>
      <c r="E2" s="8" t="n">
        <f aca="false">D2</f>
        <v>0.171111220401693</v>
      </c>
      <c r="F2" s="7" t="str">
        <f aca="false">IF(E2&lt;=0.7,"A",IF(E2&lt;=0.9,"B","C"))</f>
        <v>A</v>
      </c>
      <c r="G2" s="7" t="n">
        <v>3639</v>
      </c>
      <c r="H2" s="7" t="n">
        <v>7500</v>
      </c>
    </row>
    <row r="3" customFormat="false" ht="15" hidden="false" customHeight="false" outlineLevel="0" collapsed="false">
      <c r="A3" s="7" t="n">
        <v>2</v>
      </c>
      <c r="B3" s="7" t="s">
        <v>37</v>
      </c>
      <c r="C3" s="7" t="n">
        <v>3854.9</v>
      </c>
      <c r="D3" s="8" t="n">
        <f aca="false">C3/SUM($C$2:$C$160)</f>
        <v>0.145836091869663</v>
      </c>
      <c r="E3" s="8" t="n">
        <f aca="false">E2+D3</f>
        <v>0.316947312271357</v>
      </c>
      <c r="F3" s="7" t="str">
        <f aca="false">IF(E3&lt;=0.7,"A",IF(E3&lt;=0.9,"B","C"))</f>
        <v>A</v>
      </c>
      <c r="G3" s="7" t="n">
        <v>88</v>
      </c>
      <c r="H3" s="7" t="n">
        <v>7000</v>
      </c>
    </row>
    <row r="4" customFormat="false" ht="15" hidden="false" customHeight="false" outlineLevel="0" collapsed="false">
      <c r="A4" s="7" t="n">
        <v>3</v>
      </c>
      <c r="B4" s="7" t="s">
        <v>38</v>
      </c>
      <c r="C4" s="7" t="n">
        <v>3777.6</v>
      </c>
      <c r="D4" s="8" t="n">
        <f aca="false">C4/SUM($C$2:$C$160)</f>
        <v>0.142911728098483</v>
      </c>
      <c r="E4" s="8" t="n">
        <f aca="false">E3+D4</f>
        <v>0.459859040369839</v>
      </c>
      <c r="F4" s="7" t="str">
        <f aca="false">IF(E4&lt;=0.7,"A",IF(E4&lt;=0.9,"B","C"))</f>
        <v>A</v>
      </c>
      <c r="G4" s="7" t="n">
        <v>1648</v>
      </c>
      <c r="H4" s="7" t="n">
        <v>6000</v>
      </c>
    </row>
    <row r="5" customFormat="false" ht="15" hidden="false" customHeight="false" outlineLevel="0" collapsed="false">
      <c r="A5" s="7" t="n">
        <v>4</v>
      </c>
      <c r="B5" s="7" t="s">
        <v>39</v>
      </c>
      <c r="C5" s="7" t="n">
        <v>1987.8</v>
      </c>
      <c r="D5" s="8" t="n">
        <f aca="false">C5/SUM($C$2:$C$160)</f>
        <v>0.0752011682322543</v>
      </c>
      <c r="E5" s="8" t="n">
        <f aca="false">E4+D5</f>
        <v>0.535060208602094</v>
      </c>
      <c r="F5" s="7" t="str">
        <f aca="false">IF(E5&lt;=0.7,"A",IF(E5&lt;=0.9,"B","C"))</f>
        <v>A</v>
      </c>
      <c r="G5" s="7" t="n">
        <v>4949</v>
      </c>
      <c r="H5" s="7" t="n">
        <v>2000</v>
      </c>
    </row>
    <row r="6" customFormat="false" ht="15" hidden="false" customHeight="false" outlineLevel="0" collapsed="false">
      <c r="A6" s="7" t="n">
        <v>5</v>
      </c>
      <c r="B6" s="7" t="s">
        <v>40</v>
      </c>
      <c r="C6" s="7" t="n">
        <v>1821.4</v>
      </c>
      <c r="D6" s="8" t="n">
        <f aca="false">C6/SUM($C$2:$C$160)</f>
        <v>0.0689060306963618</v>
      </c>
      <c r="E6" s="8" t="n">
        <f aca="false">E5+D6</f>
        <v>0.603966239298456</v>
      </c>
      <c r="F6" s="7" t="str">
        <f aca="false">IF(E6&lt;=0.7,"A",IF(E6&lt;=0.9,"B","C"))</f>
        <v>A</v>
      </c>
      <c r="G6" s="7" t="n">
        <v>2871</v>
      </c>
      <c r="H6" s="7" t="n">
        <v>3000</v>
      </c>
    </row>
    <row r="7" customFormat="false" ht="15" hidden="false" customHeight="false" outlineLevel="0" collapsed="false">
      <c r="A7" s="7" t="n">
        <v>6</v>
      </c>
      <c r="B7" s="7" t="s">
        <v>41</v>
      </c>
      <c r="C7" s="7" t="n">
        <v>1686.2</v>
      </c>
      <c r="D7" s="8" t="n">
        <f aca="false">C7/SUM($C$2:$C$160)</f>
        <v>0.0637912314484491</v>
      </c>
      <c r="E7" s="8" t="n">
        <f aca="false">E6+D7</f>
        <v>0.667757470746905</v>
      </c>
      <c r="F7" s="7" t="str">
        <f aca="false">IF(E7&lt;=0.7,"A",IF(E7&lt;=0.9,"B","C"))</f>
        <v>A</v>
      </c>
      <c r="G7" s="7" t="n">
        <v>2377</v>
      </c>
      <c r="H7" s="7" t="n">
        <v>1850</v>
      </c>
    </row>
    <row r="8" customFormat="false" ht="15" hidden="false" customHeight="false" outlineLevel="0" collapsed="false">
      <c r="A8" s="7" t="n">
        <v>7</v>
      </c>
      <c r="B8" s="7" t="s">
        <v>42</v>
      </c>
      <c r="C8" s="7" t="n">
        <v>1156.8</v>
      </c>
      <c r="D8" s="8" t="n">
        <f aca="false">C8/SUM($C$2:$C$160)</f>
        <v>0.0437633119081757</v>
      </c>
      <c r="E8" s="8" t="n">
        <f aca="false">E7+D8</f>
        <v>0.71152078265508</v>
      </c>
      <c r="F8" s="7" t="str">
        <f aca="false">IF(E8&lt;=0.7,"A",IF(E8&lt;=0.9,"B","C"))</f>
        <v>B</v>
      </c>
      <c r="G8" s="7" t="n">
        <v>1690</v>
      </c>
      <c r="H8" s="7" t="n">
        <v>1500</v>
      </c>
    </row>
    <row r="9" customFormat="false" ht="15" hidden="false" customHeight="false" outlineLevel="0" collapsed="false">
      <c r="A9" s="7" t="n">
        <v>8</v>
      </c>
      <c r="B9" s="7" t="s">
        <v>43</v>
      </c>
      <c r="C9" s="7" t="n">
        <v>521.9</v>
      </c>
      <c r="D9" s="8" t="n">
        <f aca="false">C9/SUM($C$2:$C$160)</f>
        <v>0.0197441843748936</v>
      </c>
      <c r="E9" s="8" t="n">
        <f aca="false">E8+D9</f>
        <v>0.731264967029974</v>
      </c>
      <c r="F9" s="7" t="str">
        <f aca="false">IF(E9&lt;=0.7,"A",IF(E9&lt;=0.9,"B","C"))</f>
        <v>B</v>
      </c>
      <c r="G9" s="7" t="n">
        <v>200</v>
      </c>
      <c r="H9" s="7" t="n">
        <v>2000</v>
      </c>
    </row>
    <row r="10" customFormat="false" ht="15" hidden="false" customHeight="false" outlineLevel="0" collapsed="false">
      <c r="A10" s="7" t="n">
        <v>9</v>
      </c>
      <c r="B10" s="7" t="s">
        <v>44</v>
      </c>
      <c r="C10" s="7" t="n">
        <v>489.2</v>
      </c>
      <c r="D10" s="8" t="n">
        <f aca="false">C10/SUM($C$2:$C$160)</f>
        <v>0.0185070990538378</v>
      </c>
      <c r="E10" s="8" t="n">
        <f aca="false">E9+D10</f>
        <v>0.749772066083812</v>
      </c>
      <c r="F10" s="7" t="str">
        <f aca="false">IF(E10&lt;=0.7,"A",IF(E10&lt;=0.9,"B","C"))</f>
        <v>B</v>
      </c>
      <c r="G10" s="7" t="n">
        <v>2240</v>
      </c>
      <c r="H10" s="7" t="n">
        <v>150</v>
      </c>
    </row>
    <row r="11" customFormat="false" ht="15" hidden="false" customHeight="false" outlineLevel="0" collapsed="false">
      <c r="A11" s="7" t="n">
        <v>10</v>
      </c>
      <c r="B11" s="7" t="s">
        <v>45</v>
      </c>
      <c r="C11" s="7" t="n">
        <v>485.7</v>
      </c>
      <c r="D11" s="8" t="n">
        <f aca="false">C11/SUM($C$2:$C$160)</f>
        <v>0.0183746893099939</v>
      </c>
      <c r="E11" s="8" t="n">
        <f aca="false">E10+D11</f>
        <v>0.768146755393806</v>
      </c>
      <c r="F11" s="7" t="str">
        <f aca="false">IF(E11&lt;=0.7,"A",IF(E11&lt;=0.9,"B","C"))</f>
        <v>B</v>
      </c>
      <c r="G11" s="7" t="n">
        <v>362</v>
      </c>
      <c r="H11" s="7" t="n">
        <v>2000</v>
      </c>
    </row>
    <row r="12" customFormat="false" ht="15" hidden="false" customHeight="false" outlineLevel="0" collapsed="false">
      <c r="A12" s="7" t="n">
        <v>11</v>
      </c>
      <c r="B12" s="7" t="s">
        <v>46</v>
      </c>
      <c r="C12" s="7" t="n">
        <v>475.7</v>
      </c>
      <c r="D12" s="8" t="n">
        <f aca="false">C12/SUM($C$2:$C$160)</f>
        <v>0.0179963757561542</v>
      </c>
      <c r="E12" s="8" t="n">
        <f aca="false">E11+D12</f>
        <v>0.78614313114996</v>
      </c>
      <c r="F12" s="7" t="str">
        <f aca="false">IF(E12&lt;=0.7,"A",IF(E12&lt;=0.9,"B","C"))</f>
        <v>B</v>
      </c>
      <c r="G12" s="7" t="n">
        <v>967</v>
      </c>
      <c r="H12" s="7" t="n">
        <v>150</v>
      </c>
    </row>
    <row r="13" customFormat="false" ht="15" hidden="false" customHeight="false" outlineLevel="0" collapsed="false">
      <c r="A13" s="7" t="n">
        <v>12</v>
      </c>
      <c r="B13" s="7" t="s">
        <v>47</v>
      </c>
      <c r="C13" s="7" t="n">
        <v>424.6</v>
      </c>
      <c r="D13" s="8" t="n">
        <f aca="false">C13/SUM($C$2:$C$160)</f>
        <v>0.0160631934960334</v>
      </c>
      <c r="E13" s="8" t="n">
        <f aca="false">E12+D13</f>
        <v>0.802206324645993</v>
      </c>
      <c r="F13" s="7" t="str">
        <f aca="false">IF(E13&lt;=0.7,"A",IF(E13&lt;=0.9,"B","C"))</f>
        <v>B</v>
      </c>
      <c r="G13" s="7" t="n">
        <v>1686</v>
      </c>
      <c r="H13" s="7" t="n">
        <v>1000</v>
      </c>
    </row>
    <row r="14" customFormat="false" ht="15" hidden="false" customHeight="false" outlineLevel="0" collapsed="false">
      <c r="A14" s="7" t="n">
        <v>13</v>
      </c>
      <c r="B14" s="7" t="s">
        <v>48</v>
      </c>
      <c r="C14" s="7" t="n">
        <v>380.3</v>
      </c>
      <c r="D14" s="8" t="n">
        <f aca="false">C14/SUM($C$2:$C$160)</f>
        <v>0.0143872644525235</v>
      </c>
      <c r="E14" s="8" t="n">
        <f aca="false">E13+D14</f>
        <v>0.816593589098517</v>
      </c>
      <c r="F14" s="7" t="str">
        <f aca="false">IF(E14&lt;=0.7,"A",IF(E14&lt;=0.9,"B","C"))</f>
        <v>B</v>
      </c>
      <c r="G14" s="7" t="n">
        <v>2709</v>
      </c>
      <c r="H14" s="7" t="n">
        <v>700</v>
      </c>
    </row>
    <row r="15" customFormat="false" ht="15" hidden="false" customHeight="false" outlineLevel="0" collapsed="false">
      <c r="A15" s="7" t="n">
        <v>14</v>
      </c>
      <c r="B15" s="7" t="s">
        <v>49</v>
      </c>
      <c r="C15" s="7" t="n">
        <v>233.5</v>
      </c>
      <c r="D15" s="8" t="n">
        <f aca="false">C15/SUM($C$2:$C$160)</f>
        <v>0.00883362148215684</v>
      </c>
      <c r="E15" s="8" t="n">
        <f aca="false">E14+D15</f>
        <v>0.825427210580674</v>
      </c>
      <c r="F15" s="7" t="str">
        <f aca="false">IF(E15&lt;=0.7,"A",IF(E15&lt;=0.9,"B","C"))</f>
        <v>B</v>
      </c>
      <c r="G15" s="7" t="n">
        <v>1182</v>
      </c>
      <c r="H15" s="7" t="n">
        <v>500</v>
      </c>
    </row>
    <row r="16" customFormat="false" ht="15" hidden="false" customHeight="false" outlineLevel="0" collapsed="false">
      <c r="A16" s="7" t="n">
        <v>15</v>
      </c>
      <c r="B16" s="7" t="s">
        <v>50</v>
      </c>
      <c r="C16" s="7" t="n">
        <v>223.2</v>
      </c>
      <c r="D16" s="8" t="n">
        <f aca="false">C16/SUM($C$2:$C$160)</f>
        <v>0.00844395852170196</v>
      </c>
      <c r="E16" s="8" t="n">
        <f aca="false">E15+D16</f>
        <v>0.833871169102376</v>
      </c>
      <c r="F16" s="7" t="str">
        <f aca="false">IF(E16&lt;=0.7,"A",IF(E16&lt;=0.9,"B","C"))</f>
        <v>B</v>
      </c>
      <c r="G16" s="7" t="n">
        <v>1342</v>
      </c>
      <c r="H16" s="7" t="n">
        <v>200</v>
      </c>
    </row>
    <row r="17" customFormat="false" ht="15" hidden="false" customHeight="false" outlineLevel="0" collapsed="false">
      <c r="A17" s="7" t="n">
        <v>16</v>
      </c>
      <c r="B17" s="7" t="s">
        <v>51</v>
      </c>
      <c r="C17" s="7" t="n">
        <v>222.4</v>
      </c>
      <c r="D17" s="8" t="n">
        <f aca="false">C17/SUM($C$2:$C$160)</f>
        <v>0.00841369343739478</v>
      </c>
      <c r="E17" s="8" t="n">
        <f aca="false">E16+D17</f>
        <v>0.84228486253977</v>
      </c>
      <c r="F17" s="7" t="str">
        <f aca="false">IF(E17&lt;=0.7,"A",IF(E17&lt;=0.9,"B","C"))</f>
        <v>B</v>
      </c>
      <c r="G17" s="7" t="n">
        <v>13</v>
      </c>
      <c r="H17" s="7" t="n">
        <v>100</v>
      </c>
    </row>
    <row r="18" customFormat="false" ht="15" hidden="false" customHeight="false" outlineLevel="0" collapsed="false">
      <c r="A18" s="7" t="n">
        <v>17</v>
      </c>
      <c r="B18" s="7" t="s">
        <v>52</v>
      </c>
      <c r="C18" s="7" t="n">
        <v>214.6</v>
      </c>
      <c r="D18" s="8" t="n">
        <f aca="false">C18/SUM($C$2:$C$160)</f>
        <v>0.00811860886539982</v>
      </c>
      <c r="E18" s="8" t="n">
        <f aca="false">E17+D18</f>
        <v>0.85040347140517</v>
      </c>
      <c r="F18" s="7" t="str">
        <f aca="false">IF(E18&lt;=0.7,"A",IF(E18&lt;=0.9,"B","C"))</f>
        <v>B</v>
      </c>
      <c r="G18" s="7" t="n">
        <v>5083</v>
      </c>
      <c r="H18" s="7" t="n">
        <v>50</v>
      </c>
    </row>
    <row r="19" customFormat="false" ht="15" hidden="false" customHeight="false" outlineLevel="0" collapsed="false">
      <c r="A19" s="7" t="n">
        <v>18</v>
      </c>
      <c r="B19" s="7" t="s">
        <v>53</v>
      </c>
      <c r="C19" s="7" t="n">
        <v>192.7</v>
      </c>
      <c r="D19" s="8" t="n">
        <f aca="false">C19/SUM($C$2:$C$160)</f>
        <v>0.00729010218249089</v>
      </c>
      <c r="E19" s="8" t="n">
        <f aca="false">E18+D19</f>
        <v>0.857693573587661</v>
      </c>
      <c r="F19" s="7" t="str">
        <f aca="false">IF(E19&lt;=0.7,"A",IF(E19&lt;=0.9,"B","C"))</f>
        <v>B</v>
      </c>
      <c r="G19" s="7" t="n">
        <v>13</v>
      </c>
      <c r="H19" s="7" t="n">
        <v>50</v>
      </c>
    </row>
    <row r="20" customFormat="false" ht="15" hidden="false" customHeight="false" outlineLevel="0" collapsed="false">
      <c r="A20" s="7" t="n">
        <v>19</v>
      </c>
      <c r="B20" s="7" t="s">
        <v>54</v>
      </c>
      <c r="C20" s="7" t="n">
        <v>183.5</v>
      </c>
      <c r="D20" s="8" t="n">
        <f aca="false">C20/SUM($C$2:$C$160)</f>
        <v>0.00694205371295838</v>
      </c>
      <c r="E20" s="8" t="n">
        <f aca="false">E19+D20</f>
        <v>0.86463562730062</v>
      </c>
      <c r="F20" s="7" t="str">
        <f aca="false">IF(E20&lt;=0.7,"A",IF(E20&lt;=0.9,"B","C"))</f>
        <v>B</v>
      </c>
      <c r="G20" s="7" t="n">
        <v>696</v>
      </c>
      <c r="H20" s="7" t="n">
        <v>700</v>
      </c>
    </row>
    <row r="21" customFormat="false" ht="15" hidden="false" customHeight="false" outlineLevel="0" collapsed="false">
      <c r="A21" s="7" t="n">
        <v>20</v>
      </c>
      <c r="B21" s="7" t="s">
        <v>55</v>
      </c>
      <c r="C21" s="7" t="n">
        <v>177.3</v>
      </c>
      <c r="D21" s="8" t="n">
        <f aca="false">C21/SUM($C$2:$C$160)</f>
        <v>0.00670749930957777</v>
      </c>
      <c r="E21" s="8" t="n">
        <f aca="false">E20+D21</f>
        <v>0.871343126610197</v>
      </c>
      <c r="F21" s="7" t="str">
        <f aca="false">IF(E21&lt;=0.7,"A",IF(E21&lt;=0.9,"B","C"))</f>
        <v>B</v>
      </c>
      <c r="G21" s="7" t="n">
        <v>3127</v>
      </c>
      <c r="H21" s="7" t="n">
        <v>2000</v>
      </c>
    </row>
    <row r="22" customFormat="false" ht="15" hidden="false" customHeight="false" outlineLevel="0" collapsed="false">
      <c r="A22" s="7" t="n">
        <v>21</v>
      </c>
      <c r="B22" s="7" t="s">
        <v>56</v>
      </c>
      <c r="C22" s="7" t="n">
        <v>166.5</v>
      </c>
      <c r="D22" s="8" t="n">
        <f aca="false">C22/SUM($C$2:$C$160)</f>
        <v>0.0062989206714309</v>
      </c>
      <c r="E22" s="8" t="n">
        <f aca="false">E21+D22</f>
        <v>0.877642047281628</v>
      </c>
      <c r="F22" s="7" t="str">
        <f aca="false">IF(E22&lt;=0.7,"A",IF(E22&lt;=0.9,"B","C"))</f>
        <v>B</v>
      </c>
      <c r="G22" s="7" t="n">
        <v>1099</v>
      </c>
      <c r="H22" s="7" t="n">
        <v>200</v>
      </c>
    </row>
    <row r="23" customFormat="false" ht="15" hidden="false" customHeight="false" outlineLevel="0" collapsed="false">
      <c r="A23" s="7" t="n">
        <v>22</v>
      </c>
      <c r="B23" s="7" t="s">
        <v>57</v>
      </c>
      <c r="C23" s="7" t="n">
        <v>152.7</v>
      </c>
      <c r="D23" s="8" t="n">
        <f aca="false">C23/SUM($C$2:$C$160)</f>
        <v>0.00577684796713212</v>
      </c>
      <c r="E23" s="8" t="n">
        <f aca="false">E22+D23</f>
        <v>0.88341889524876</v>
      </c>
      <c r="F23" s="7" t="str">
        <f aca="false">IF(E23&lt;=0.7,"A",IF(E23&lt;=0.9,"B","C"))</f>
        <v>B</v>
      </c>
      <c r="G23" s="7" t="n">
        <v>1383</v>
      </c>
      <c r="H23" s="7" t="n">
        <v>50</v>
      </c>
    </row>
    <row r="24" customFormat="false" ht="15" hidden="false" customHeight="false" outlineLevel="0" collapsed="false">
      <c r="A24" s="7" t="n">
        <v>23</v>
      </c>
      <c r="B24" s="7" t="s">
        <v>58</v>
      </c>
      <c r="C24" s="7" t="n">
        <v>131.9</v>
      </c>
      <c r="D24" s="8" t="n">
        <f aca="false">C24/SUM($C$2:$C$160)</f>
        <v>0.00498995577514556</v>
      </c>
      <c r="E24" s="8" t="n">
        <f aca="false">E23+D24</f>
        <v>0.888408851023906</v>
      </c>
      <c r="F24" s="7" t="str">
        <f aca="false">IF(E24&lt;=0.7,"A",IF(E24&lt;=0.9,"B","C"))</f>
        <v>B</v>
      </c>
      <c r="G24" s="7" t="n">
        <v>2525</v>
      </c>
      <c r="H24" s="7" t="n">
        <v>50</v>
      </c>
    </row>
    <row r="25" customFormat="false" ht="15" hidden="false" customHeight="false" outlineLevel="0" collapsed="false">
      <c r="A25" s="7" t="n">
        <v>24</v>
      </c>
      <c r="B25" s="7" t="s">
        <v>59</v>
      </c>
      <c r="C25" s="7" t="n">
        <v>131.1</v>
      </c>
      <c r="D25" s="8" t="n">
        <f aca="false">C25/SUM($C$2:$C$160)</f>
        <v>0.00495969069083838</v>
      </c>
      <c r="E25" s="8" t="n">
        <f aca="false">E24+D25</f>
        <v>0.893368541714744</v>
      </c>
      <c r="F25" s="7" t="str">
        <f aca="false">IF(E25&lt;=0.7,"A",IF(E25&lt;=0.9,"B","C"))</f>
        <v>B</v>
      </c>
      <c r="G25" s="7" t="n">
        <v>537</v>
      </c>
      <c r="H25" s="7" t="n">
        <v>200</v>
      </c>
    </row>
    <row r="26" customFormat="false" ht="15" hidden="false" customHeight="false" outlineLevel="0" collapsed="false">
      <c r="A26" s="7" t="n">
        <v>25</v>
      </c>
      <c r="B26" s="7" t="s">
        <v>60</v>
      </c>
      <c r="C26" s="7" t="n">
        <v>129.7</v>
      </c>
      <c r="D26" s="8" t="n">
        <f aca="false">C26/SUM($C$2:$C$160)</f>
        <v>0.00490672679330082</v>
      </c>
      <c r="E26" s="8" t="n">
        <f aca="false">E25+D26</f>
        <v>0.898275268508045</v>
      </c>
      <c r="F26" s="7" t="str">
        <f aca="false">IF(E26&lt;=0.7,"A",IF(E26&lt;=0.9,"B","C"))</f>
        <v>B</v>
      </c>
      <c r="G26" s="7" t="n">
        <v>301</v>
      </c>
      <c r="H26" s="7" t="n">
        <v>100</v>
      </c>
    </row>
    <row r="27" customFormat="false" ht="15" hidden="false" customHeight="false" outlineLevel="0" collapsed="false">
      <c r="A27" s="7" t="n">
        <v>26</v>
      </c>
      <c r="B27" s="7" t="s">
        <v>61</v>
      </c>
      <c r="C27" s="7" t="n">
        <v>114.1</v>
      </c>
      <c r="D27" s="8" t="n">
        <f aca="false">C27/SUM($C$2:$C$160)</f>
        <v>0.0043165576493109</v>
      </c>
      <c r="E27" s="8" t="n">
        <f aca="false">E26+D27</f>
        <v>0.902591826157356</v>
      </c>
      <c r="F27" s="7" t="str">
        <f aca="false">IF(E27&lt;=0.7,"A",IF(E27&lt;=0.9,"B","C"))</f>
        <v>C</v>
      </c>
      <c r="G27" s="7" t="n">
        <v>623</v>
      </c>
      <c r="H27" s="7" t="n">
        <v>800</v>
      </c>
    </row>
    <row r="28" customFormat="false" ht="15" hidden="false" customHeight="false" outlineLevel="0" collapsed="false">
      <c r="A28" s="7" t="n">
        <v>27</v>
      </c>
      <c r="B28" s="7" t="s">
        <v>62</v>
      </c>
      <c r="C28" s="7" t="n">
        <v>112.4</v>
      </c>
      <c r="D28" s="8" t="n">
        <f aca="false">C28/SUM($C$2:$C$160)</f>
        <v>0.00425224434515815</v>
      </c>
      <c r="E28" s="8" t="n">
        <f aca="false">E27+D28</f>
        <v>0.906844070502514</v>
      </c>
      <c r="F28" s="7" t="str">
        <f aca="false">IF(E28&lt;=0.7,"A",IF(E28&lt;=0.9,"B","C"))</f>
        <v>C</v>
      </c>
      <c r="G28" s="7" t="n">
        <v>4383</v>
      </c>
      <c r="H28" s="7" t="n">
        <v>2000</v>
      </c>
    </row>
    <row r="29" customFormat="false" ht="15" hidden="false" customHeight="false" outlineLevel="0" collapsed="false">
      <c r="A29" s="7" t="n">
        <v>28</v>
      </c>
      <c r="B29" s="7" t="s">
        <v>63</v>
      </c>
      <c r="C29" s="7" t="n">
        <v>112.4</v>
      </c>
      <c r="D29" s="8" t="n">
        <f aca="false">C29/SUM($C$2:$C$160)</f>
        <v>0.00425224434515815</v>
      </c>
      <c r="E29" s="8" t="n">
        <f aca="false">E28+D29</f>
        <v>0.911096314847672</v>
      </c>
      <c r="F29" s="7" t="str">
        <f aca="false">IF(E29&lt;=0.7,"A",IF(E29&lt;=0.9,"B","C"))</f>
        <v>C</v>
      </c>
      <c r="G29" s="7" t="n">
        <v>45</v>
      </c>
      <c r="H29" s="7" t="n">
        <v>800</v>
      </c>
    </row>
    <row r="30" customFormat="false" ht="15" hidden="false" customHeight="false" outlineLevel="0" collapsed="false">
      <c r="A30" s="7" t="n">
        <v>29</v>
      </c>
      <c r="B30" s="7" t="s">
        <v>64</v>
      </c>
      <c r="C30" s="7" t="n">
        <v>103.5</v>
      </c>
      <c r="D30" s="8" t="n">
        <f aca="false">C30/SUM($C$2:$C$160)</f>
        <v>0.00391554528224083</v>
      </c>
      <c r="E30" s="8" t="n">
        <f aca="false">E29+D30</f>
        <v>0.915011860129913</v>
      </c>
      <c r="F30" s="7" t="str">
        <f aca="false">IF(E30&lt;=0.7,"A",IF(E30&lt;=0.9,"B","C"))</f>
        <v>C</v>
      </c>
      <c r="G30" s="7" t="n">
        <v>962</v>
      </c>
      <c r="H30" s="7" t="n">
        <v>800</v>
      </c>
    </row>
    <row r="31" customFormat="false" ht="15" hidden="false" customHeight="false" outlineLevel="0" collapsed="false">
      <c r="A31" s="7" t="n">
        <v>30</v>
      </c>
      <c r="B31" s="7" t="s">
        <v>65</v>
      </c>
      <c r="C31" s="7" t="n">
        <v>97.3</v>
      </c>
      <c r="D31" s="8" t="n">
        <f aca="false">C31/SUM($C$2:$C$160)</f>
        <v>0.00368099087886022</v>
      </c>
      <c r="E31" s="8" t="n">
        <f aca="false">E30+D31</f>
        <v>0.918692851008773</v>
      </c>
      <c r="F31" s="7" t="str">
        <f aca="false">IF(E31&lt;=0.7,"A",IF(E31&lt;=0.9,"B","C"))</f>
        <v>C</v>
      </c>
      <c r="G31" s="7" t="n">
        <v>522</v>
      </c>
      <c r="H31" s="7" t="n">
        <v>50</v>
      </c>
    </row>
    <row r="32" customFormat="false" ht="15" hidden="false" customHeight="false" outlineLevel="0" collapsed="false">
      <c r="A32" s="7" t="n">
        <v>31</v>
      </c>
      <c r="B32" s="7" t="s">
        <v>66</v>
      </c>
      <c r="C32" s="7" t="n">
        <v>93.8</v>
      </c>
      <c r="D32" s="8" t="n">
        <f aca="false">C32/SUM($C$2:$C$160)</f>
        <v>0.00354858113501632</v>
      </c>
      <c r="E32" s="8" t="n">
        <f aca="false">E31+D32</f>
        <v>0.92224143214379</v>
      </c>
      <c r="F32" s="7" t="str">
        <f aca="false">IF(E32&lt;=0.7,"A",IF(E32&lt;=0.9,"B","C"))</f>
        <v>C</v>
      </c>
      <c r="G32" s="7" t="n">
        <v>98</v>
      </c>
      <c r="H32" s="7" t="n">
        <v>50</v>
      </c>
    </row>
    <row r="33" customFormat="false" ht="15" hidden="false" customHeight="false" outlineLevel="0" collapsed="false">
      <c r="A33" s="7" t="n">
        <v>32</v>
      </c>
      <c r="B33" s="7" t="s">
        <v>67</v>
      </c>
      <c r="C33" s="7" t="n">
        <v>90.3</v>
      </c>
      <c r="D33" s="8" t="n">
        <f aca="false">C33/SUM($C$2:$C$160)</f>
        <v>0.00341617139117243</v>
      </c>
      <c r="E33" s="8" t="n">
        <f aca="false">E32+D33</f>
        <v>0.925657603534962</v>
      </c>
      <c r="F33" s="7" t="str">
        <f aca="false">IF(E33&lt;=0.7,"A",IF(E33&lt;=0.9,"B","C"))</f>
        <v>C</v>
      </c>
      <c r="G33" s="7" t="n">
        <v>84</v>
      </c>
      <c r="H33" s="7" t="n">
        <v>100</v>
      </c>
    </row>
    <row r="34" customFormat="false" ht="15" hidden="false" customHeight="false" outlineLevel="0" collapsed="false">
      <c r="A34" s="7" t="n">
        <v>33</v>
      </c>
      <c r="B34" s="7" t="s">
        <v>68</v>
      </c>
      <c r="C34" s="7" t="n">
        <v>85.7</v>
      </c>
      <c r="D34" s="8" t="n">
        <f aca="false">C34/SUM($C$2:$C$160)</f>
        <v>0.00324214715640617</v>
      </c>
      <c r="E34" s="8" t="n">
        <f aca="false">E33+D34</f>
        <v>0.928899750691368</v>
      </c>
      <c r="F34" s="7" t="str">
        <f aca="false">IF(E34&lt;=0.7,"A",IF(E34&lt;=0.9,"B","C"))</f>
        <v>C</v>
      </c>
      <c r="G34" s="7" t="n">
        <v>1218</v>
      </c>
      <c r="H34" s="7" t="n">
        <v>300</v>
      </c>
    </row>
    <row r="35" customFormat="false" ht="15" hidden="false" customHeight="false" outlineLevel="0" collapsed="false">
      <c r="A35" s="7" t="n">
        <v>34</v>
      </c>
      <c r="B35" s="7" t="s">
        <v>69</v>
      </c>
      <c r="C35" s="7" t="n">
        <v>85.4</v>
      </c>
      <c r="D35" s="8" t="n">
        <f aca="false">C35/SUM($C$2:$C$160)</f>
        <v>0.00323079774979098</v>
      </c>
      <c r="E35" s="8" t="n">
        <f aca="false">E34+D35</f>
        <v>0.932130548441159</v>
      </c>
      <c r="F35" s="7" t="str">
        <f aca="false">IF(E35&lt;=0.7,"A",IF(E35&lt;=0.9,"B","C"))</f>
        <v>C</v>
      </c>
      <c r="G35" s="7" t="n">
        <v>63</v>
      </c>
      <c r="H35" s="7" t="n">
        <v>50</v>
      </c>
    </row>
    <row r="36" customFormat="false" ht="15" hidden="false" customHeight="false" outlineLevel="0" collapsed="false">
      <c r="A36" s="7" t="n">
        <v>35</v>
      </c>
      <c r="B36" s="7" t="s">
        <v>70</v>
      </c>
      <c r="C36" s="7" t="n">
        <v>65.7</v>
      </c>
      <c r="D36" s="8" t="n">
        <f aca="false">C36/SUM($C$2:$C$160)</f>
        <v>0.00248552004872679</v>
      </c>
      <c r="E36" s="8" t="n">
        <f aca="false">E35+D36</f>
        <v>0.934616068489886</v>
      </c>
      <c r="F36" s="7" t="str">
        <f aca="false">IF(E36&lt;=0.7,"A",IF(E36&lt;=0.9,"B","C"))</f>
        <v>C</v>
      </c>
      <c r="G36" s="7" t="n">
        <v>664</v>
      </c>
      <c r="H36" s="7" t="n">
        <v>1000</v>
      </c>
    </row>
    <row r="37" customFormat="false" ht="15" hidden="false" customHeight="false" outlineLevel="0" collapsed="false">
      <c r="A37" s="7" t="n">
        <v>36</v>
      </c>
      <c r="B37" s="7" t="s">
        <v>71</v>
      </c>
      <c r="C37" s="7" t="n">
        <v>64.9</v>
      </c>
      <c r="D37" s="8" t="n">
        <f aca="false">C37/SUM($C$2:$C$160)</f>
        <v>0.00245525496441961</v>
      </c>
      <c r="E37" s="8" t="n">
        <f aca="false">E36+D37</f>
        <v>0.937071323454306</v>
      </c>
      <c r="F37" s="7" t="str">
        <f aca="false">IF(E37&lt;=0.7,"A",IF(E37&lt;=0.9,"B","C"))</f>
        <v>C</v>
      </c>
      <c r="G37" s="7" t="n">
        <v>1472</v>
      </c>
      <c r="H37" s="7" t="n">
        <v>30</v>
      </c>
    </row>
    <row r="38" customFormat="false" ht="15" hidden="false" customHeight="false" outlineLevel="0" collapsed="false">
      <c r="A38" s="7" t="n">
        <v>37</v>
      </c>
      <c r="B38" s="7" t="s">
        <v>72</v>
      </c>
      <c r="C38" s="7" t="n">
        <v>58.1</v>
      </c>
      <c r="D38" s="8" t="n">
        <f aca="false">C38/SUM($C$2:$C$160)</f>
        <v>0.00219800174780862</v>
      </c>
      <c r="E38" s="8" t="n">
        <f aca="false">E37+D38</f>
        <v>0.939269325202114</v>
      </c>
      <c r="F38" s="7" t="str">
        <f aca="false">IF(E38&lt;=0.7,"A",IF(E38&lt;=0.9,"B","C"))</f>
        <v>C</v>
      </c>
      <c r="G38" s="7" t="n">
        <v>1252</v>
      </c>
      <c r="H38" s="7" t="n">
        <v>1150</v>
      </c>
    </row>
    <row r="39" customFormat="false" ht="15" hidden="false" customHeight="false" outlineLevel="0" collapsed="false">
      <c r="A39" s="7" t="n">
        <v>38</v>
      </c>
      <c r="B39" s="7" t="s">
        <v>73</v>
      </c>
      <c r="C39" s="7" t="n">
        <v>54.6</v>
      </c>
      <c r="D39" s="8" t="n">
        <f aca="false">C39/SUM($C$2:$C$160)</f>
        <v>0.00206559200396473</v>
      </c>
      <c r="E39" s="8" t="n">
        <f aca="false">E38+D39</f>
        <v>0.941334917206079</v>
      </c>
      <c r="F39" s="7" t="str">
        <f aca="false">IF(E39&lt;=0.7,"A",IF(E39&lt;=0.9,"B","C"))</f>
        <v>C</v>
      </c>
      <c r="G39" s="7" t="n">
        <v>1309</v>
      </c>
      <c r="H39" s="7" t="n">
        <v>2500</v>
      </c>
    </row>
    <row r="40" customFormat="false" ht="15" hidden="false" customHeight="false" outlineLevel="0" collapsed="false">
      <c r="A40" s="7" t="n">
        <v>39</v>
      </c>
      <c r="B40" s="7" t="s">
        <v>74</v>
      </c>
      <c r="C40" s="7" t="n">
        <v>52.4</v>
      </c>
      <c r="D40" s="8" t="n">
        <f aca="false">C40/SUM($C$2:$C$160)</f>
        <v>0.00198236302211999</v>
      </c>
      <c r="E40" s="8" t="n">
        <f aca="false">E39+D40</f>
        <v>0.943317280228199</v>
      </c>
      <c r="F40" s="7" t="str">
        <f aca="false">IF(E40&lt;=0.7,"A",IF(E40&lt;=0.9,"B","C"))</f>
        <v>C</v>
      </c>
      <c r="G40" s="7" t="n">
        <v>1208</v>
      </c>
      <c r="H40" s="7" t="n">
        <v>800</v>
      </c>
    </row>
    <row r="41" customFormat="false" ht="15" hidden="false" customHeight="false" outlineLevel="0" collapsed="false">
      <c r="A41" s="7" t="n">
        <v>40</v>
      </c>
      <c r="B41" s="7" t="s">
        <v>75</v>
      </c>
      <c r="C41" s="7" t="n">
        <v>51.4</v>
      </c>
      <c r="D41" s="8" t="n">
        <f aca="false">C41/SUM($C$2:$C$160)</f>
        <v>0.00194453166673602</v>
      </c>
      <c r="E41" s="8" t="n">
        <f aca="false">E40+D41</f>
        <v>0.945261811894935</v>
      </c>
      <c r="F41" s="7" t="str">
        <f aca="false">IF(E41&lt;=0.7,"A",IF(E41&lt;=0.9,"B","C"))</f>
        <v>C</v>
      </c>
      <c r="G41" s="7" t="n">
        <v>626</v>
      </c>
      <c r="H41" s="7" t="n">
        <v>150</v>
      </c>
    </row>
    <row r="42" customFormat="false" ht="15" hidden="false" customHeight="false" outlineLevel="0" collapsed="false">
      <c r="A42" s="7" t="n">
        <v>41</v>
      </c>
      <c r="B42" s="7" t="s">
        <v>76</v>
      </c>
      <c r="C42" s="7" t="n">
        <v>50.8</v>
      </c>
      <c r="D42" s="8" t="n">
        <f aca="false">C42/SUM($C$2:$C$160)</f>
        <v>0.00192183285350564</v>
      </c>
      <c r="E42" s="8" t="n">
        <f aca="false">E41+D42</f>
        <v>0.947183644748441</v>
      </c>
      <c r="F42" s="7" t="str">
        <f aca="false">IF(E42&lt;=0.7,"A",IF(E42&lt;=0.9,"B","C"))</f>
        <v>C</v>
      </c>
      <c r="G42" s="7" t="n">
        <v>648</v>
      </c>
      <c r="H42" s="7" t="n">
        <v>600</v>
      </c>
    </row>
    <row r="43" customFormat="false" ht="15" hidden="false" customHeight="false" outlineLevel="0" collapsed="false">
      <c r="A43" s="7" t="n">
        <v>42</v>
      </c>
      <c r="B43" s="7" t="s">
        <v>77</v>
      </c>
      <c r="C43" s="7" t="n">
        <v>49.2</v>
      </c>
      <c r="D43" s="8" t="n">
        <f aca="false">C43/SUM($C$2:$C$160)</f>
        <v>0.00186130268489129</v>
      </c>
      <c r="E43" s="8" t="n">
        <f aca="false">E42+D43</f>
        <v>0.949044947433332</v>
      </c>
      <c r="F43" s="7" t="str">
        <f aca="false">IF(E43&lt;=0.7,"A",IF(E43&lt;=0.9,"B","C"))</f>
        <v>C</v>
      </c>
      <c r="G43" s="7" t="n">
        <v>299</v>
      </c>
      <c r="H43" s="7" t="n">
        <v>50</v>
      </c>
    </row>
    <row r="44" customFormat="false" ht="15" hidden="false" customHeight="false" outlineLevel="0" collapsed="false">
      <c r="A44" s="7" t="n">
        <v>43</v>
      </c>
      <c r="B44" s="7" t="s">
        <v>78</v>
      </c>
      <c r="C44" s="7" t="n">
        <v>48.4</v>
      </c>
      <c r="D44" s="8" t="n">
        <f aca="false">C44/SUM($C$2:$C$160)</f>
        <v>0.00183103760058412</v>
      </c>
      <c r="E44" s="8" t="n">
        <f aca="false">E43+D44</f>
        <v>0.950875985033916</v>
      </c>
      <c r="F44" s="7" t="str">
        <f aca="false">IF(E44&lt;=0.7,"A",IF(E44&lt;=0.9,"B","C"))</f>
        <v>C</v>
      </c>
      <c r="G44" s="7" t="n">
        <v>87</v>
      </c>
      <c r="H44" s="7" t="n">
        <v>50</v>
      </c>
    </row>
    <row r="45" customFormat="false" ht="15" hidden="false" customHeight="false" outlineLevel="0" collapsed="false">
      <c r="A45" s="7" t="n">
        <v>44</v>
      </c>
      <c r="B45" s="7" t="s">
        <v>79</v>
      </c>
      <c r="C45" s="7" t="n">
        <v>46.2</v>
      </c>
      <c r="D45" s="8" t="n">
        <f aca="false">C45/SUM($C$2:$C$160)</f>
        <v>0.00174780861873938</v>
      </c>
      <c r="E45" s="8" t="n">
        <f aca="false">E44+D45</f>
        <v>0.952623793652655</v>
      </c>
      <c r="F45" s="7" t="str">
        <f aca="false">IF(E45&lt;=0.7,"A",IF(E45&lt;=0.9,"B","C"))</f>
        <v>C</v>
      </c>
      <c r="G45" s="7" t="n">
        <v>10</v>
      </c>
      <c r="H45" s="7" t="n">
        <v>400</v>
      </c>
    </row>
    <row r="46" customFormat="false" ht="15" hidden="false" customHeight="false" outlineLevel="0" collapsed="false">
      <c r="A46" s="7" t="n">
        <v>45</v>
      </c>
      <c r="B46" s="7" t="s">
        <v>80</v>
      </c>
      <c r="C46" s="7" t="n">
        <v>44.9</v>
      </c>
      <c r="D46" s="8" t="n">
        <f aca="false">C46/SUM($C$2:$C$160)</f>
        <v>0.00169862785674022</v>
      </c>
      <c r="E46" s="8" t="n">
        <f aca="false">E45+D46</f>
        <v>0.954322421509396</v>
      </c>
      <c r="F46" s="7" t="str">
        <f aca="false">IF(E46&lt;=0.7,"A",IF(E46&lt;=0.9,"B","C"))</f>
        <v>C</v>
      </c>
      <c r="G46" s="7" t="n">
        <v>1890</v>
      </c>
      <c r="H46" s="7" t="n">
        <v>150</v>
      </c>
    </row>
    <row r="47" customFormat="false" ht="15" hidden="false" customHeight="false" outlineLevel="0" collapsed="false">
      <c r="A47" s="7" t="n">
        <v>46</v>
      </c>
      <c r="B47" s="7" t="s">
        <v>81</v>
      </c>
      <c r="C47" s="7" t="n">
        <v>40.5</v>
      </c>
      <c r="D47" s="8" t="n">
        <f aca="false">C47/SUM($C$2:$C$160)</f>
        <v>0.00153216989305076</v>
      </c>
      <c r="E47" s="8" t="n">
        <f aca="false">E46+D47</f>
        <v>0.955854591402446</v>
      </c>
      <c r="F47" s="7" t="str">
        <f aca="false">IF(E47&lt;=0.7,"A",IF(E47&lt;=0.9,"B","C"))</f>
        <v>C</v>
      </c>
      <c r="G47" s="7" t="n">
        <v>20</v>
      </c>
      <c r="H47" s="7" t="n">
        <v>200</v>
      </c>
    </row>
    <row r="48" customFormat="false" ht="15" hidden="false" customHeight="false" outlineLevel="0" collapsed="false">
      <c r="A48" s="7" t="n">
        <v>47</v>
      </c>
      <c r="B48" s="7" t="s">
        <v>82</v>
      </c>
      <c r="C48" s="7" t="n">
        <v>38.9</v>
      </c>
      <c r="D48" s="8" t="n">
        <f aca="false">C48/SUM($C$2:$C$160)</f>
        <v>0.00147163972443641</v>
      </c>
      <c r="E48" s="8" t="n">
        <f aca="false">E47+D48</f>
        <v>0.957326231126883</v>
      </c>
      <c r="F48" s="7" t="str">
        <f aca="false">IF(E48&lt;=0.7,"A",IF(E48&lt;=0.9,"B","C"))</f>
        <v>C</v>
      </c>
      <c r="G48" s="7" t="n">
        <v>237</v>
      </c>
      <c r="H48" s="7" t="n">
        <v>50</v>
      </c>
    </row>
    <row r="49" customFormat="false" ht="15" hidden="false" customHeight="false" outlineLevel="0" collapsed="false">
      <c r="A49" s="7" t="n">
        <v>48</v>
      </c>
      <c r="B49" s="7" t="s">
        <v>83</v>
      </c>
      <c r="C49" s="7" t="n">
        <v>37.6</v>
      </c>
      <c r="D49" s="8" t="n">
        <f aca="false">C49/SUM($C$2:$C$160)</f>
        <v>0.00142245896243725</v>
      </c>
      <c r="E49" s="8" t="n">
        <f aca="false">E48+D49</f>
        <v>0.95874869008932</v>
      </c>
      <c r="F49" s="7" t="str">
        <f aca="false">IF(E49&lt;=0.7,"A",IF(E49&lt;=0.9,"B","C"))</f>
        <v>C</v>
      </c>
      <c r="G49" s="7" t="n">
        <v>874</v>
      </c>
      <c r="H49" s="7" t="n">
        <v>50</v>
      </c>
    </row>
    <row r="50" customFormat="false" ht="15" hidden="false" customHeight="false" outlineLevel="0" collapsed="false">
      <c r="A50" s="7" t="n">
        <v>49</v>
      </c>
      <c r="B50" s="7" t="s">
        <v>84</v>
      </c>
      <c r="C50" s="7" t="n">
        <v>37.3</v>
      </c>
      <c r="D50" s="8" t="n">
        <f aca="false">C50/SUM($C$2:$C$160)</f>
        <v>0.00141110955582206</v>
      </c>
      <c r="E50" s="8" t="n">
        <f aca="false">E49+D50</f>
        <v>0.960159799645142</v>
      </c>
      <c r="F50" s="7" t="str">
        <f aca="false">IF(E50&lt;=0.7,"A",IF(E50&lt;=0.9,"B","C"))</f>
        <v>C</v>
      </c>
      <c r="G50" s="7" t="n">
        <v>24</v>
      </c>
      <c r="H50" s="7" t="n">
        <v>150</v>
      </c>
    </row>
    <row r="51" customFormat="false" ht="15" hidden="false" customHeight="false" outlineLevel="0" collapsed="false">
      <c r="A51" s="7" t="n">
        <v>50</v>
      </c>
      <c r="B51" s="7" t="s">
        <v>85</v>
      </c>
      <c r="C51" s="7" t="n">
        <v>34.1</v>
      </c>
      <c r="D51" s="8" t="n">
        <f aca="false">C51/SUM($C$2:$C$160)</f>
        <v>0.00129004921859335</v>
      </c>
      <c r="E51" s="8" t="n">
        <f aca="false">E50+D51</f>
        <v>0.961449848863735</v>
      </c>
      <c r="F51" s="7" t="str">
        <f aca="false">IF(E51&lt;=0.7,"A",IF(E51&lt;=0.9,"B","C"))</f>
        <v>C</v>
      </c>
      <c r="G51" s="7" t="n">
        <v>252</v>
      </c>
      <c r="H51" s="7" t="n">
        <v>100</v>
      </c>
    </row>
    <row r="52" customFormat="false" ht="15" hidden="false" customHeight="false" outlineLevel="0" collapsed="false">
      <c r="A52" s="7" t="n">
        <v>51</v>
      </c>
      <c r="B52" s="7" t="s">
        <v>86</v>
      </c>
      <c r="C52" s="7" t="n">
        <v>33</v>
      </c>
      <c r="D52" s="8" t="n">
        <f aca="false">C52/SUM($C$2:$C$160)</f>
        <v>0.00124843472767099</v>
      </c>
      <c r="E52" s="8" t="n">
        <f aca="false">E51+D52</f>
        <v>0.962698283591406</v>
      </c>
      <c r="F52" s="7" t="str">
        <f aca="false">IF(E52&lt;=0.7,"A",IF(E52&lt;=0.9,"B","C"))</f>
        <v>C</v>
      </c>
      <c r="G52" s="7" t="n">
        <v>64</v>
      </c>
      <c r="H52" s="7" t="n">
        <v>100</v>
      </c>
    </row>
    <row r="53" customFormat="false" ht="15" hidden="false" customHeight="false" outlineLevel="0" collapsed="false">
      <c r="A53" s="7" t="n">
        <v>52</v>
      </c>
      <c r="B53" s="7" t="s">
        <v>87</v>
      </c>
      <c r="C53" s="7" t="n">
        <v>32.7</v>
      </c>
      <c r="D53" s="8" t="n">
        <f aca="false">C53/SUM($C$2:$C$160)</f>
        <v>0.0012370853210558</v>
      </c>
      <c r="E53" s="8" t="n">
        <f aca="false">E52+D53</f>
        <v>0.963935368912462</v>
      </c>
      <c r="F53" s="7" t="str">
        <f aca="false">IF(E53&lt;=0.7,"A",IF(E53&lt;=0.9,"B","C"))</f>
        <v>C</v>
      </c>
      <c r="G53" s="7" t="n">
        <v>716</v>
      </c>
      <c r="H53" s="7" t="n">
        <v>500</v>
      </c>
    </row>
    <row r="54" customFormat="false" ht="15" hidden="false" customHeight="false" outlineLevel="0" collapsed="false">
      <c r="A54" s="7" t="n">
        <v>53</v>
      </c>
      <c r="B54" s="7" t="s">
        <v>88</v>
      </c>
      <c r="C54" s="7" t="n">
        <v>31.1</v>
      </c>
      <c r="D54" s="8" t="n">
        <f aca="false">C54/SUM($C$2:$C$160)</f>
        <v>0.00117655515244145</v>
      </c>
      <c r="E54" s="8" t="n">
        <f aca="false">E53+D54</f>
        <v>0.965111924064903</v>
      </c>
      <c r="F54" s="7" t="str">
        <f aca="false">IF(E54&lt;=0.7,"A",IF(E54&lt;=0.9,"B","C"))</f>
        <v>C</v>
      </c>
      <c r="G54" s="7" t="n">
        <v>129</v>
      </c>
      <c r="H54" s="7" t="n">
        <v>100</v>
      </c>
    </row>
    <row r="55" customFormat="false" ht="15" hidden="false" customHeight="false" outlineLevel="0" collapsed="false">
      <c r="A55" s="7" t="n">
        <v>54</v>
      </c>
      <c r="B55" s="7" t="s">
        <v>89</v>
      </c>
      <c r="C55" s="7" t="n">
        <v>29.2</v>
      </c>
      <c r="D55" s="8" t="n">
        <f aca="false">C55/SUM($C$2:$C$160)</f>
        <v>0.0011046755772119</v>
      </c>
      <c r="E55" s="8" t="n">
        <f aca="false">E54+D55</f>
        <v>0.966216599642115</v>
      </c>
      <c r="F55" s="7" t="str">
        <f aca="false">IF(E55&lt;=0.7,"A",IF(E55&lt;=0.9,"B","C"))</f>
        <v>C</v>
      </c>
      <c r="G55" s="7" t="n">
        <v>85</v>
      </c>
      <c r="H55" s="7" t="n">
        <v>100</v>
      </c>
    </row>
    <row r="56" customFormat="false" ht="15" hidden="false" customHeight="false" outlineLevel="0" collapsed="false">
      <c r="A56" s="7" t="n">
        <v>55</v>
      </c>
      <c r="B56" s="7" t="s">
        <v>90</v>
      </c>
      <c r="C56" s="7" t="n">
        <v>28.6</v>
      </c>
      <c r="D56" s="8" t="n">
        <f aca="false">C56/SUM($C$2:$C$160)</f>
        <v>0.00108197676398152</v>
      </c>
      <c r="E56" s="8" t="n">
        <f aca="false">E55+D56</f>
        <v>0.967298576406097</v>
      </c>
      <c r="F56" s="7" t="str">
        <f aca="false">IF(E56&lt;=0.7,"A",IF(E56&lt;=0.9,"B","C"))</f>
        <v>C</v>
      </c>
      <c r="G56" s="7" t="n">
        <v>134</v>
      </c>
      <c r="H56" s="7" t="n">
        <v>50</v>
      </c>
    </row>
    <row r="57" customFormat="false" ht="15" hidden="false" customHeight="false" outlineLevel="0" collapsed="false">
      <c r="A57" s="7" t="n">
        <v>56</v>
      </c>
      <c r="B57" s="7" t="s">
        <v>91</v>
      </c>
      <c r="C57" s="7" t="n">
        <v>28.6</v>
      </c>
      <c r="D57" s="8" t="n">
        <f aca="false">C57/SUM($C$2:$C$160)</f>
        <v>0.00108197676398152</v>
      </c>
      <c r="E57" s="8" t="n">
        <f aca="false">E56+D57</f>
        <v>0.968380553170078</v>
      </c>
      <c r="F57" s="7" t="str">
        <f aca="false">IF(E57&lt;=0.7,"A",IF(E57&lt;=0.9,"B","C"))</f>
        <v>C</v>
      </c>
      <c r="G57" s="7" t="n">
        <v>383</v>
      </c>
      <c r="H57" s="7" t="n">
        <v>50</v>
      </c>
    </row>
    <row r="58" customFormat="false" ht="15" hidden="false" customHeight="false" outlineLevel="0" collapsed="false">
      <c r="A58" s="7" t="n">
        <v>57</v>
      </c>
      <c r="B58" s="7" t="s">
        <v>92</v>
      </c>
      <c r="C58" s="7" t="n">
        <v>28.4</v>
      </c>
      <c r="D58" s="8" t="n">
        <f aca="false">C58/SUM($C$2:$C$160)</f>
        <v>0.00107441049290473</v>
      </c>
      <c r="E58" s="8" t="n">
        <f aca="false">E57+D58</f>
        <v>0.969454963662983</v>
      </c>
      <c r="F58" s="7" t="str">
        <f aca="false">IF(E58&lt;=0.7,"A",IF(E58&lt;=0.9,"B","C"))</f>
        <v>C</v>
      </c>
      <c r="G58" s="7" t="n">
        <v>495</v>
      </c>
      <c r="H58" s="7" t="n">
        <v>50</v>
      </c>
    </row>
    <row r="59" customFormat="false" ht="15" hidden="false" customHeight="false" outlineLevel="0" collapsed="false">
      <c r="A59" s="7" t="n">
        <v>58</v>
      </c>
      <c r="B59" s="7" t="s">
        <v>93</v>
      </c>
      <c r="C59" s="7" t="n">
        <v>26.8</v>
      </c>
      <c r="D59" s="8" t="n">
        <f aca="false">C59/SUM($C$2:$C$160)</f>
        <v>0.00101388032429038</v>
      </c>
      <c r="E59" s="8" t="n">
        <f aca="false">E58+D59</f>
        <v>0.970468843987273</v>
      </c>
      <c r="F59" s="7" t="str">
        <f aca="false">IF(E59&lt;=0.7,"A",IF(E59&lt;=0.9,"B","C"))</f>
        <v>C</v>
      </c>
      <c r="G59" s="7" t="n">
        <v>6</v>
      </c>
      <c r="H59" s="7" t="n">
        <v>50</v>
      </c>
    </row>
    <row r="60" customFormat="false" ht="15" hidden="false" customHeight="false" outlineLevel="0" collapsed="false">
      <c r="A60" s="7" t="n">
        <v>59</v>
      </c>
      <c r="B60" s="7" t="s">
        <v>94</v>
      </c>
      <c r="C60" s="7" t="n">
        <v>26.2</v>
      </c>
      <c r="D60" s="8" t="n">
        <f aca="false">C60/SUM($C$2:$C$160)</f>
        <v>0.000991181511059997</v>
      </c>
      <c r="E60" s="8" t="n">
        <f aca="false">E59+D60</f>
        <v>0.971460025498333</v>
      </c>
      <c r="F60" s="7" t="str">
        <f aca="false">IF(E60&lt;=0.7,"A",IF(E60&lt;=0.9,"B","C"))</f>
        <v>C</v>
      </c>
      <c r="G60" s="7" t="n">
        <v>315</v>
      </c>
      <c r="H60" s="7" t="n">
        <v>500</v>
      </c>
    </row>
    <row r="61" customFormat="false" ht="15" hidden="false" customHeight="false" outlineLevel="0" collapsed="false">
      <c r="A61" s="7" t="n">
        <v>60</v>
      </c>
      <c r="B61" s="7" t="s">
        <v>95</v>
      </c>
      <c r="C61" s="7" t="n">
        <v>25.4</v>
      </c>
      <c r="D61" s="8" t="n">
        <f aca="false">C61/SUM($C$2:$C$160)</f>
        <v>0.000960916426752821</v>
      </c>
      <c r="E61" s="8" t="n">
        <f aca="false">E60+D61</f>
        <v>0.972420941925086</v>
      </c>
      <c r="F61" s="7" t="str">
        <f aca="false">IF(E61&lt;=0.7,"A",IF(E61&lt;=0.9,"B","C"))</f>
        <v>C</v>
      </c>
      <c r="G61" s="7" t="n">
        <v>33</v>
      </c>
      <c r="H61" s="7" t="n">
        <v>50</v>
      </c>
    </row>
    <row r="62" customFormat="false" ht="15" hidden="false" customHeight="false" outlineLevel="0" collapsed="false">
      <c r="A62" s="7" t="n">
        <v>61</v>
      </c>
      <c r="B62" s="7" t="s">
        <v>96</v>
      </c>
      <c r="C62" s="7" t="n">
        <v>22.2</v>
      </c>
      <c r="D62" s="8" t="n">
        <f aca="false">C62/SUM($C$2:$C$160)</f>
        <v>0.000839856089524119</v>
      </c>
      <c r="E62" s="8" t="n">
        <f aca="false">E61+D62</f>
        <v>0.97326079801461</v>
      </c>
      <c r="F62" s="7" t="str">
        <f aca="false">IF(E62&lt;=0.7,"A",IF(E62&lt;=0.9,"B","C"))</f>
        <v>C</v>
      </c>
      <c r="G62" s="7" t="n">
        <v>519</v>
      </c>
      <c r="H62" s="7" t="n">
        <v>50</v>
      </c>
    </row>
    <row r="63" customFormat="false" ht="15" hidden="false" customHeight="false" outlineLevel="0" collapsed="false">
      <c r="A63" s="7" t="n">
        <v>62</v>
      </c>
      <c r="B63" s="7" t="s">
        <v>97</v>
      </c>
      <c r="C63" s="7" t="n">
        <v>21.1</v>
      </c>
      <c r="D63" s="8" t="n">
        <f aca="false">C63/SUM($C$2:$C$160)</f>
        <v>0.000798241598601753</v>
      </c>
      <c r="E63" s="8" t="n">
        <f aca="false">E62+D63</f>
        <v>0.974059039613212</v>
      </c>
      <c r="F63" s="7" t="str">
        <f aca="false">IF(E63&lt;=0.7,"A",IF(E63&lt;=0.9,"B","C"))</f>
        <v>C</v>
      </c>
      <c r="G63" s="7" t="n">
        <v>1043</v>
      </c>
      <c r="H63" s="7" t="n">
        <v>800</v>
      </c>
    </row>
    <row r="64" customFormat="false" ht="15" hidden="false" customHeight="false" outlineLevel="0" collapsed="false">
      <c r="A64" s="7" t="n">
        <v>63</v>
      </c>
      <c r="B64" s="7" t="s">
        <v>98</v>
      </c>
      <c r="C64" s="7" t="n">
        <v>20.8</v>
      </c>
      <c r="D64" s="8" t="n">
        <f aca="false">C64/SUM($C$2:$C$160)</f>
        <v>0.000786892191986562</v>
      </c>
      <c r="E64" s="8" t="n">
        <f aca="false">E63+D64</f>
        <v>0.974845931805199</v>
      </c>
      <c r="F64" s="7" t="str">
        <f aca="false">IF(E64&lt;=0.7,"A",IF(E64&lt;=0.9,"B","C"))</f>
        <v>C</v>
      </c>
      <c r="G64" s="7" t="n">
        <v>204</v>
      </c>
      <c r="H64" s="7" t="n">
        <v>150</v>
      </c>
    </row>
    <row r="65" customFormat="false" ht="15" hidden="false" customHeight="false" outlineLevel="0" collapsed="false">
      <c r="A65" s="7" t="n">
        <v>64</v>
      </c>
      <c r="B65" s="7" t="s">
        <v>99</v>
      </c>
      <c r="C65" s="7" t="n">
        <v>20.3</v>
      </c>
      <c r="D65" s="8" t="n">
        <f aca="false">C65/SUM($C$2:$C$160)</f>
        <v>0.000767976514294578</v>
      </c>
      <c r="E65" s="8" t="n">
        <f aca="false">E64+D65</f>
        <v>0.975613908319493</v>
      </c>
      <c r="F65" s="7" t="str">
        <f aca="false">IF(E65&lt;=0.7,"A",IF(E65&lt;=0.9,"B","C"))</f>
        <v>C</v>
      </c>
      <c r="G65" s="7" t="n">
        <v>382</v>
      </c>
      <c r="H65" s="7" t="n">
        <v>50</v>
      </c>
    </row>
    <row r="66" customFormat="false" ht="15" hidden="false" customHeight="false" outlineLevel="0" collapsed="false">
      <c r="A66" s="7" t="n">
        <v>65</v>
      </c>
      <c r="B66" s="7" t="s">
        <v>100</v>
      </c>
      <c r="C66" s="7" t="n">
        <v>19.2</v>
      </c>
      <c r="D66" s="8" t="n">
        <f aca="false">C66/SUM($C$2:$C$160)</f>
        <v>0.000726362023372211</v>
      </c>
      <c r="E66" s="8" t="n">
        <f aca="false">E65+D66</f>
        <v>0.976340270342865</v>
      </c>
      <c r="F66" s="7" t="str">
        <f aca="false">IF(E66&lt;=0.7,"A",IF(E66&lt;=0.9,"B","C"))</f>
        <v>C</v>
      </c>
      <c r="G66" s="7" t="n">
        <v>216</v>
      </c>
      <c r="H66" s="7" t="n">
        <v>50</v>
      </c>
    </row>
    <row r="67" customFormat="false" ht="15" hidden="false" customHeight="false" outlineLevel="0" collapsed="false">
      <c r="A67" s="7" t="n">
        <v>66</v>
      </c>
      <c r="B67" s="7" t="s">
        <v>101</v>
      </c>
      <c r="C67" s="7" t="n">
        <v>18.9</v>
      </c>
      <c r="D67" s="8" t="n">
        <f aca="false">C67/SUM($C$2:$C$160)</f>
        <v>0.000715012616757021</v>
      </c>
      <c r="E67" s="8" t="n">
        <f aca="false">E66+D67</f>
        <v>0.977055282959622</v>
      </c>
      <c r="F67" s="7" t="str">
        <f aca="false">IF(E67&lt;=0.7,"A",IF(E67&lt;=0.9,"B","C"))</f>
        <v>C</v>
      </c>
      <c r="G67" s="7" t="n">
        <v>1111</v>
      </c>
      <c r="H67" s="7" t="n">
        <v>900</v>
      </c>
    </row>
    <row r="68" customFormat="false" ht="15" hidden="false" customHeight="false" outlineLevel="0" collapsed="false">
      <c r="A68" s="7" t="n">
        <v>67</v>
      </c>
      <c r="B68" s="7" t="s">
        <v>102</v>
      </c>
      <c r="C68" s="7" t="n">
        <v>18.6</v>
      </c>
      <c r="D68" s="8" t="n">
        <f aca="false">C68/SUM($C$2:$C$160)</f>
        <v>0.00070366321014183</v>
      </c>
      <c r="E68" s="8" t="n">
        <f aca="false">E67+D68</f>
        <v>0.977758946169764</v>
      </c>
      <c r="F68" s="7" t="str">
        <f aca="false">IF(E68&lt;=0.7,"A",IF(E68&lt;=0.9,"B","C"))</f>
        <v>C</v>
      </c>
      <c r="G68" s="7" t="n">
        <v>42</v>
      </c>
      <c r="H68" s="7" t="n">
        <v>50</v>
      </c>
    </row>
    <row r="69" customFormat="false" ht="15" hidden="false" customHeight="false" outlineLevel="0" collapsed="false">
      <c r="A69" s="7" t="n">
        <v>68</v>
      </c>
      <c r="B69" s="7" t="s">
        <v>103</v>
      </c>
      <c r="C69" s="7" t="n">
        <v>18.6</v>
      </c>
      <c r="D69" s="8" t="n">
        <f aca="false">C69/SUM($C$2:$C$160)</f>
        <v>0.00070366321014183</v>
      </c>
      <c r="E69" s="8" t="n">
        <f aca="false">E68+D69</f>
        <v>0.978462609379906</v>
      </c>
      <c r="F69" s="7" t="str">
        <f aca="false">IF(E69&lt;=0.7,"A",IF(E69&lt;=0.9,"B","C"))</f>
        <v>C</v>
      </c>
      <c r="G69" s="7" t="n">
        <v>90</v>
      </c>
      <c r="H69" s="7" t="n">
        <v>50</v>
      </c>
    </row>
    <row r="70" customFormat="false" ht="15" hidden="false" customHeight="false" outlineLevel="0" collapsed="false">
      <c r="A70" s="7" t="n">
        <v>69</v>
      </c>
      <c r="B70" s="7" t="s">
        <v>104</v>
      </c>
      <c r="C70" s="7" t="n">
        <v>17.6</v>
      </c>
      <c r="D70" s="8" t="n">
        <f aca="false">C70/SUM($C$2:$C$160)</f>
        <v>0.000665831854757861</v>
      </c>
      <c r="E70" s="8" t="n">
        <f aca="false">E69+D70</f>
        <v>0.979128441234664</v>
      </c>
      <c r="F70" s="7" t="str">
        <f aca="false">IF(E70&lt;=0.7,"A",IF(E70&lt;=0.9,"B","C"))</f>
        <v>C</v>
      </c>
      <c r="G70" s="7" t="n">
        <v>104</v>
      </c>
      <c r="H70" s="7" t="n">
        <v>50</v>
      </c>
    </row>
    <row r="71" customFormat="false" ht="15" hidden="false" customHeight="false" outlineLevel="0" collapsed="false">
      <c r="A71" s="7" t="n">
        <v>70</v>
      </c>
      <c r="B71" s="7" t="s">
        <v>105</v>
      </c>
      <c r="C71" s="7" t="n">
        <v>17.3</v>
      </c>
      <c r="D71" s="8" t="n">
        <f aca="false">C71/SUM($C$2:$C$160)</f>
        <v>0.00065448244814267</v>
      </c>
      <c r="E71" s="8" t="n">
        <f aca="false">E70+D71</f>
        <v>0.979782923682807</v>
      </c>
      <c r="F71" s="7" t="str">
        <f aca="false">IF(E71&lt;=0.7,"A",IF(E71&lt;=0.9,"B","C"))</f>
        <v>C</v>
      </c>
      <c r="G71" s="7" t="n">
        <v>65</v>
      </c>
      <c r="H71" s="7" t="n">
        <v>200</v>
      </c>
    </row>
    <row r="72" customFormat="false" ht="15" hidden="false" customHeight="false" outlineLevel="0" collapsed="false">
      <c r="A72" s="7" t="n">
        <v>71</v>
      </c>
      <c r="B72" s="7" t="s">
        <v>106</v>
      </c>
      <c r="C72" s="7" t="n">
        <v>16.5</v>
      </c>
      <c r="D72" s="8" t="n">
        <f aca="false">C72/SUM($C$2:$C$160)</f>
        <v>0.000624217363835494</v>
      </c>
      <c r="E72" s="8" t="n">
        <f aca="false">E71+D72</f>
        <v>0.980407141046642</v>
      </c>
      <c r="F72" s="7" t="str">
        <f aca="false">IF(E72&lt;=0.7,"A",IF(E72&lt;=0.9,"B","C"))</f>
        <v>C</v>
      </c>
      <c r="G72" s="7" t="n">
        <v>129</v>
      </c>
      <c r="H72" s="7" t="n">
        <v>200</v>
      </c>
    </row>
    <row r="73" customFormat="false" ht="15" hidden="false" customHeight="false" outlineLevel="0" collapsed="false">
      <c r="A73" s="7" t="n">
        <v>72</v>
      </c>
      <c r="B73" s="7" t="s">
        <v>107</v>
      </c>
      <c r="C73" s="7" t="n">
        <v>16.5</v>
      </c>
      <c r="D73" s="8" t="n">
        <f aca="false">C73/SUM($C$2:$C$160)</f>
        <v>0.000624217363835494</v>
      </c>
      <c r="E73" s="8" t="n">
        <f aca="false">E72+D73</f>
        <v>0.981031358410478</v>
      </c>
      <c r="F73" s="7" t="str">
        <f aca="false">IF(E73&lt;=0.7,"A",IF(E73&lt;=0.9,"B","C"))</f>
        <v>C</v>
      </c>
      <c r="G73" s="7" t="n">
        <v>2782</v>
      </c>
      <c r="H73" s="7" t="n">
        <v>1500</v>
      </c>
    </row>
    <row r="74" customFormat="false" ht="15" hidden="false" customHeight="false" outlineLevel="0" collapsed="false">
      <c r="A74" s="7" t="n">
        <v>73</v>
      </c>
      <c r="B74" s="7" t="s">
        <v>108</v>
      </c>
      <c r="C74" s="7" t="n">
        <v>16.2</v>
      </c>
      <c r="D74" s="8" t="n">
        <f aca="false">C74/SUM($C$2:$C$160)</f>
        <v>0.000612867957220303</v>
      </c>
      <c r="E74" s="8" t="n">
        <f aca="false">E73+D74</f>
        <v>0.981644226367698</v>
      </c>
      <c r="F74" s="7" t="str">
        <f aca="false">IF(E74&lt;=0.7,"A",IF(E74&lt;=0.9,"B","C"))</f>
        <v>C</v>
      </c>
      <c r="G74" s="7" t="n">
        <v>240</v>
      </c>
      <c r="H74" s="7" t="n">
        <v>1200</v>
      </c>
    </row>
    <row r="75" customFormat="false" ht="15" hidden="false" customHeight="false" outlineLevel="0" collapsed="false">
      <c r="A75" s="7" t="n">
        <v>74</v>
      </c>
      <c r="B75" s="7" t="s">
        <v>109</v>
      </c>
      <c r="C75" s="7" t="n">
        <v>15.9</v>
      </c>
      <c r="D75" s="8" t="n">
        <f aca="false">C75/SUM($C$2:$C$160)</f>
        <v>0.000601518550605113</v>
      </c>
      <c r="E75" s="8" t="n">
        <f aca="false">E74+D75</f>
        <v>0.982245744918303</v>
      </c>
      <c r="F75" s="7" t="str">
        <f aca="false">IF(E75&lt;=0.7,"A",IF(E75&lt;=0.9,"B","C"))</f>
        <v>C</v>
      </c>
      <c r="G75" s="7" t="n">
        <v>754</v>
      </c>
      <c r="H75" s="7" t="n">
        <v>50</v>
      </c>
    </row>
    <row r="76" customFormat="false" ht="15" hidden="false" customHeight="false" outlineLevel="0" collapsed="false">
      <c r="A76" s="7" t="n">
        <v>75</v>
      </c>
      <c r="B76" s="7" t="s">
        <v>110</v>
      </c>
      <c r="C76" s="7" t="n">
        <v>15.9</v>
      </c>
      <c r="D76" s="8" t="n">
        <f aca="false">C76/SUM($C$2:$C$160)</f>
        <v>0.000601518550605113</v>
      </c>
      <c r="E76" s="8" t="n">
        <f aca="false">E75+D76</f>
        <v>0.982847263468908</v>
      </c>
      <c r="F76" s="7" t="str">
        <f aca="false">IF(E76&lt;=0.7,"A",IF(E76&lt;=0.9,"B","C"))</f>
        <v>C</v>
      </c>
      <c r="G76" s="7" t="n">
        <v>218</v>
      </c>
      <c r="H76" s="7" t="n">
        <v>100</v>
      </c>
    </row>
    <row r="77" customFormat="false" ht="15" hidden="false" customHeight="false" outlineLevel="0" collapsed="false">
      <c r="A77" s="7" t="n">
        <v>76</v>
      </c>
      <c r="B77" s="7" t="s">
        <v>111</v>
      </c>
      <c r="C77" s="7" t="n">
        <v>15.4</v>
      </c>
      <c r="D77" s="8" t="n">
        <f aca="false">C77/SUM($C$2:$C$160)</f>
        <v>0.000582602872913128</v>
      </c>
      <c r="E77" s="8" t="n">
        <f aca="false">E76+D77</f>
        <v>0.983429866341821</v>
      </c>
      <c r="F77" s="7" t="str">
        <f aca="false">IF(E77&lt;=0.7,"A",IF(E77&lt;=0.9,"B","C"))</f>
        <v>C</v>
      </c>
      <c r="G77" s="7" t="n">
        <v>81</v>
      </c>
      <c r="H77" s="7" t="n">
        <v>50</v>
      </c>
    </row>
    <row r="78" customFormat="false" ht="15" hidden="false" customHeight="false" outlineLevel="0" collapsed="false">
      <c r="A78" s="7" t="n">
        <v>77</v>
      </c>
      <c r="B78" s="7" t="s">
        <v>112</v>
      </c>
      <c r="C78" s="7" t="n">
        <v>15.1</v>
      </c>
      <c r="D78" s="8" t="n">
        <f aca="false">C78/SUM($C$2:$C$160)</f>
        <v>0.000571253466297937</v>
      </c>
      <c r="E78" s="8" t="n">
        <f aca="false">E77+D78</f>
        <v>0.984001119808119</v>
      </c>
      <c r="F78" s="7" t="str">
        <f aca="false">IF(E78&lt;=0.7,"A",IF(E78&lt;=0.9,"B","C"))</f>
        <v>C</v>
      </c>
      <c r="G78" s="7" t="n">
        <v>21</v>
      </c>
      <c r="H78" s="7" t="n">
        <v>50</v>
      </c>
    </row>
    <row r="79" customFormat="false" ht="15" hidden="false" customHeight="false" outlineLevel="0" collapsed="false">
      <c r="A79" s="7" t="n">
        <v>78</v>
      </c>
      <c r="B79" s="7" t="s">
        <v>113</v>
      </c>
      <c r="C79" s="7" t="n">
        <v>14.9</v>
      </c>
      <c r="D79" s="8" t="n">
        <f aca="false">C79/SUM($C$2:$C$160)</f>
        <v>0.000563687195221143</v>
      </c>
      <c r="E79" s="8" t="n">
        <f aca="false">E78+D79</f>
        <v>0.98456480700334</v>
      </c>
      <c r="F79" s="7" t="str">
        <f aca="false">IF(E79&lt;=0.7,"A",IF(E79&lt;=0.9,"B","C"))</f>
        <v>C</v>
      </c>
      <c r="G79" s="7" t="n">
        <v>93</v>
      </c>
      <c r="H79" s="7" t="n">
        <v>50</v>
      </c>
    </row>
    <row r="80" customFormat="false" ht="15" hidden="false" customHeight="false" outlineLevel="0" collapsed="false">
      <c r="A80" s="7" t="n">
        <v>79</v>
      </c>
      <c r="B80" s="7" t="s">
        <v>114</v>
      </c>
      <c r="C80" s="7" t="n">
        <v>14.3</v>
      </c>
      <c r="D80" s="8" t="n">
        <f aca="false">C80/SUM($C$2:$C$160)</f>
        <v>0.000540988381990762</v>
      </c>
      <c r="E80" s="8" t="n">
        <f aca="false">E79+D80</f>
        <v>0.985105795385331</v>
      </c>
      <c r="F80" s="7" t="str">
        <f aca="false">IF(E80&lt;=0.7,"A",IF(E80&lt;=0.9,"B","C"))</f>
        <v>C</v>
      </c>
      <c r="G80" s="7" t="n">
        <v>404</v>
      </c>
      <c r="H80" s="7" t="n">
        <v>0</v>
      </c>
    </row>
    <row r="81" customFormat="false" ht="15" hidden="false" customHeight="false" outlineLevel="0" collapsed="false">
      <c r="A81" s="7" t="n">
        <v>80</v>
      </c>
      <c r="B81" s="7" t="s">
        <v>115</v>
      </c>
      <c r="C81" s="7" t="n">
        <v>14.1</v>
      </c>
      <c r="D81" s="8" t="n">
        <f aca="false">C81/SUM($C$2:$C$160)</f>
        <v>0.000533422110913968</v>
      </c>
      <c r="E81" s="8" t="n">
        <f aca="false">E80+D81</f>
        <v>0.985639217496245</v>
      </c>
      <c r="F81" s="7" t="str">
        <f aca="false">IF(E81&lt;=0.7,"A",IF(E81&lt;=0.9,"B","C"))</f>
        <v>C</v>
      </c>
      <c r="G81" s="7" t="n">
        <v>23</v>
      </c>
      <c r="H81" s="7" t="n">
        <v>50</v>
      </c>
    </row>
    <row r="82" customFormat="false" ht="15" hidden="false" customHeight="false" outlineLevel="0" collapsed="false">
      <c r="A82" s="7" t="n">
        <v>81</v>
      </c>
      <c r="B82" s="7" t="s">
        <v>116</v>
      </c>
      <c r="C82" s="7" t="n">
        <v>13.8</v>
      </c>
      <c r="D82" s="8" t="n">
        <f aca="false">C82/SUM($C$2:$C$160)</f>
        <v>0.000522072704298777</v>
      </c>
      <c r="E82" s="8" t="n">
        <f aca="false">E81+D82</f>
        <v>0.986161290200544</v>
      </c>
      <c r="F82" s="7" t="str">
        <f aca="false">IF(E82&lt;=0.7,"A",IF(E82&lt;=0.9,"B","C"))</f>
        <v>C</v>
      </c>
      <c r="G82" s="7" t="n">
        <v>249</v>
      </c>
      <c r="H82" s="7" t="n">
        <v>200</v>
      </c>
    </row>
    <row r="83" customFormat="false" ht="15" hidden="false" customHeight="false" outlineLevel="0" collapsed="false">
      <c r="A83" s="7" t="n">
        <v>82</v>
      </c>
      <c r="B83" s="7" t="s">
        <v>117</v>
      </c>
      <c r="C83" s="7" t="n">
        <v>13.2</v>
      </c>
      <c r="D83" s="8" t="n">
        <f aca="false">C83/SUM($C$2:$C$160)</f>
        <v>0.000499373891068395</v>
      </c>
      <c r="E83" s="8" t="n">
        <f aca="false">E82+D83</f>
        <v>0.986660664091612</v>
      </c>
      <c r="F83" s="7" t="str">
        <f aca="false">IF(E83&lt;=0.7,"A",IF(E83&lt;=0.9,"B","C"))</f>
        <v>C</v>
      </c>
      <c r="G83" s="7" t="n">
        <v>54</v>
      </c>
      <c r="H83" s="7" t="n">
        <v>50</v>
      </c>
    </row>
    <row r="84" customFormat="false" ht="15" hidden="false" customHeight="false" outlineLevel="0" collapsed="false">
      <c r="A84" s="7" t="n">
        <v>83</v>
      </c>
      <c r="B84" s="7" t="s">
        <v>118</v>
      </c>
      <c r="C84" s="7" t="n">
        <v>12.7</v>
      </c>
      <c r="D84" s="8" t="n">
        <f aca="false">C84/SUM($C$2:$C$160)</f>
        <v>0.000480458213376411</v>
      </c>
      <c r="E84" s="8" t="n">
        <f aca="false">E83+D84</f>
        <v>0.987141122304989</v>
      </c>
      <c r="F84" s="7" t="str">
        <f aca="false">IF(E84&lt;=0.7,"A",IF(E84&lt;=0.9,"B","C"))</f>
        <v>C</v>
      </c>
      <c r="G84" s="7" t="n">
        <v>19</v>
      </c>
      <c r="H84" s="7" t="n">
        <v>50</v>
      </c>
    </row>
    <row r="85" customFormat="false" ht="15" hidden="false" customHeight="false" outlineLevel="0" collapsed="false">
      <c r="A85" s="7" t="n">
        <v>84</v>
      </c>
      <c r="B85" s="7" t="s">
        <v>119</v>
      </c>
      <c r="C85" s="7" t="n">
        <v>12.4</v>
      </c>
      <c r="D85" s="8" t="n">
        <f aca="false">C85/SUM($C$2:$C$160)</f>
        <v>0.00046910880676122</v>
      </c>
      <c r="E85" s="8" t="n">
        <f aca="false">E84+D85</f>
        <v>0.98761023111175</v>
      </c>
      <c r="F85" s="7" t="str">
        <f aca="false">IF(E85&lt;=0.7,"A",IF(E85&lt;=0.9,"B","C"))</f>
        <v>C</v>
      </c>
      <c r="G85" s="7" t="n">
        <v>292</v>
      </c>
      <c r="H85" s="7" t="n">
        <v>100</v>
      </c>
    </row>
    <row r="86" customFormat="false" ht="15" hidden="false" customHeight="false" outlineLevel="0" collapsed="false">
      <c r="A86" s="7" t="n">
        <v>85</v>
      </c>
      <c r="B86" s="7" t="s">
        <v>120</v>
      </c>
      <c r="C86" s="7" t="n">
        <v>11.9</v>
      </c>
      <c r="D86" s="8" t="n">
        <f aca="false">C86/SUM($C$2:$C$160)</f>
        <v>0.000450193129069235</v>
      </c>
      <c r="E86" s="8" t="n">
        <f aca="false">E85+D86</f>
        <v>0.988060424240819</v>
      </c>
      <c r="F86" s="7" t="str">
        <f aca="false">IF(E86&lt;=0.7,"A",IF(E86&lt;=0.9,"B","C"))</f>
        <v>C</v>
      </c>
      <c r="G86" s="7" t="n">
        <v>62</v>
      </c>
      <c r="H86" s="7" t="n">
        <v>50</v>
      </c>
    </row>
    <row r="87" customFormat="false" ht="15" hidden="false" customHeight="false" outlineLevel="0" collapsed="false">
      <c r="A87" s="7" t="n">
        <v>86</v>
      </c>
      <c r="B87" s="7" t="s">
        <v>121</v>
      </c>
      <c r="C87" s="7" t="n">
        <v>11.9</v>
      </c>
      <c r="D87" s="8" t="n">
        <f aca="false">C87/SUM($C$2:$C$160)</f>
        <v>0.000450193129069235</v>
      </c>
      <c r="E87" s="8" t="n">
        <f aca="false">E86+D87</f>
        <v>0.988510617369888</v>
      </c>
      <c r="F87" s="7" t="str">
        <f aca="false">IF(E87&lt;=0.7,"A",IF(E87&lt;=0.9,"B","C"))</f>
        <v>C</v>
      </c>
      <c r="G87" s="7" t="n">
        <v>49</v>
      </c>
      <c r="H87" s="7" t="n">
        <v>50</v>
      </c>
    </row>
    <row r="88" customFormat="false" ht="15" hidden="false" customHeight="false" outlineLevel="0" collapsed="false">
      <c r="A88" s="7" t="n">
        <v>87</v>
      </c>
      <c r="B88" s="7" t="s">
        <v>122</v>
      </c>
      <c r="C88" s="7" t="n">
        <v>11.9</v>
      </c>
      <c r="D88" s="8" t="n">
        <f aca="false">C88/SUM($C$2:$C$160)</f>
        <v>0.000450193129069235</v>
      </c>
      <c r="E88" s="8" t="n">
        <f aca="false">E87+D88</f>
        <v>0.988960810498958</v>
      </c>
      <c r="F88" s="7" t="str">
        <f aca="false">IF(E88&lt;=0.7,"A",IF(E88&lt;=0.9,"B","C"))</f>
        <v>C</v>
      </c>
      <c r="G88" s="7" t="n">
        <v>504</v>
      </c>
      <c r="H88" s="7" t="n">
        <v>50</v>
      </c>
    </row>
    <row r="89" customFormat="false" ht="15" hidden="false" customHeight="false" outlineLevel="0" collapsed="false">
      <c r="A89" s="7" t="n">
        <v>88</v>
      </c>
      <c r="B89" s="7" t="s">
        <v>123</v>
      </c>
      <c r="C89" s="7" t="n">
        <v>11.1</v>
      </c>
      <c r="D89" s="8" t="n">
        <f aca="false">C89/SUM($C$2:$C$160)</f>
        <v>0.00041992804476206</v>
      </c>
      <c r="E89" s="8" t="n">
        <f aca="false">E88+D89</f>
        <v>0.98938073854372</v>
      </c>
      <c r="F89" s="7" t="str">
        <f aca="false">IF(E89&lt;=0.7,"A",IF(E89&lt;=0.9,"B","C"))</f>
        <v>C</v>
      </c>
      <c r="G89" s="7" t="n">
        <v>79</v>
      </c>
      <c r="H89" s="7" t="n">
        <v>50</v>
      </c>
    </row>
    <row r="90" customFormat="false" ht="15" hidden="false" customHeight="false" outlineLevel="0" collapsed="false">
      <c r="A90" s="7" t="n">
        <v>89</v>
      </c>
      <c r="B90" s="7" t="s">
        <v>124</v>
      </c>
      <c r="C90" s="7" t="n">
        <v>10.5</v>
      </c>
      <c r="D90" s="8" t="n">
        <f aca="false">C90/SUM($C$2:$C$160)</f>
        <v>0.000397229231531678</v>
      </c>
      <c r="E90" s="8" t="n">
        <f aca="false">E89+D90</f>
        <v>0.989777967775251</v>
      </c>
      <c r="F90" s="7" t="str">
        <f aca="false">IF(E90&lt;=0.7,"A",IF(E90&lt;=0.9,"B","C"))</f>
        <v>C</v>
      </c>
      <c r="G90" s="7" t="n">
        <v>7</v>
      </c>
      <c r="H90" s="7" t="n">
        <v>100</v>
      </c>
    </row>
    <row r="91" customFormat="false" ht="15" hidden="false" customHeight="false" outlineLevel="0" collapsed="false">
      <c r="A91" s="7" t="n">
        <v>90</v>
      </c>
      <c r="B91" s="7" t="s">
        <v>125</v>
      </c>
      <c r="C91" s="7" t="n">
        <v>10.5</v>
      </c>
      <c r="D91" s="8" t="n">
        <f aca="false">C91/SUM($C$2:$C$160)</f>
        <v>0.000397229231531678</v>
      </c>
      <c r="E91" s="8" t="n">
        <f aca="false">E90+D91</f>
        <v>0.990175197006783</v>
      </c>
      <c r="F91" s="7" t="str">
        <f aca="false">IF(E91&lt;=0.7,"A",IF(E91&lt;=0.9,"B","C"))</f>
        <v>C</v>
      </c>
      <c r="G91" s="7" t="n">
        <v>302</v>
      </c>
      <c r="H91" s="7" t="n">
        <v>50</v>
      </c>
    </row>
    <row r="92" customFormat="false" ht="15" hidden="false" customHeight="false" outlineLevel="0" collapsed="false">
      <c r="A92" s="7" t="n">
        <v>91</v>
      </c>
      <c r="B92" s="7" t="s">
        <v>126</v>
      </c>
      <c r="C92" s="7" t="n">
        <v>10.3</v>
      </c>
      <c r="D92" s="8" t="n">
        <f aca="false">C92/SUM($C$2:$C$160)</f>
        <v>0.000389662960454884</v>
      </c>
      <c r="E92" s="8" t="n">
        <f aca="false">E91+D92</f>
        <v>0.990564859967238</v>
      </c>
      <c r="F92" s="7" t="str">
        <f aca="false">IF(E92&lt;=0.7,"A",IF(E92&lt;=0.9,"B","C"))</f>
        <v>C</v>
      </c>
      <c r="G92" s="7" t="n">
        <v>14</v>
      </c>
      <c r="H92" s="7" t="n">
        <v>100</v>
      </c>
    </row>
    <row r="93" customFormat="false" ht="15" hidden="false" customHeight="false" outlineLevel="0" collapsed="false">
      <c r="A93" s="7" t="n">
        <v>92</v>
      </c>
      <c r="B93" s="7" t="s">
        <v>127</v>
      </c>
      <c r="C93" s="7" t="n">
        <v>10.3</v>
      </c>
      <c r="D93" s="8" t="n">
        <f aca="false">C93/SUM($C$2:$C$160)</f>
        <v>0.000389662960454884</v>
      </c>
      <c r="E93" s="8" t="n">
        <f aca="false">E92+D93</f>
        <v>0.990954522927693</v>
      </c>
      <c r="F93" s="7" t="str">
        <f aca="false">IF(E93&lt;=0.7,"A",IF(E93&lt;=0.9,"B","C"))</f>
        <v>C</v>
      </c>
      <c r="G93" s="7" t="n">
        <v>745</v>
      </c>
      <c r="H93" s="7" t="n">
        <v>50</v>
      </c>
    </row>
    <row r="94" customFormat="false" ht="15" hidden="false" customHeight="false" outlineLevel="0" collapsed="false">
      <c r="A94" s="7" t="n">
        <v>93</v>
      </c>
      <c r="B94" s="7" t="s">
        <v>128</v>
      </c>
      <c r="C94" s="7" t="n">
        <v>10</v>
      </c>
      <c r="D94" s="8" t="n">
        <f aca="false">C94/SUM($C$2:$C$160)</f>
        <v>0.000378313553839693</v>
      </c>
      <c r="E94" s="8" t="n">
        <f aca="false">E93+D94</f>
        <v>0.991332836481532</v>
      </c>
      <c r="F94" s="7" t="str">
        <f aca="false">IF(E94&lt;=0.7,"A",IF(E94&lt;=0.9,"B","C"))</f>
        <v>C</v>
      </c>
      <c r="G94" s="7" t="n">
        <v>55</v>
      </c>
      <c r="H94" s="7" t="n">
        <v>50</v>
      </c>
    </row>
    <row r="95" customFormat="false" ht="15" hidden="false" customHeight="false" outlineLevel="0" collapsed="false">
      <c r="A95" s="7" t="n">
        <v>94</v>
      </c>
      <c r="B95" s="7" t="s">
        <v>129</v>
      </c>
      <c r="C95" s="7" t="n">
        <v>10</v>
      </c>
      <c r="D95" s="8" t="n">
        <f aca="false">C95/SUM($C$2:$C$160)</f>
        <v>0.000378313553839693</v>
      </c>
      <c r="E95" s="8" t="n">
        <f aca="false">E94+D95</f>
        <v>0.991711150035372</v>
      </c>
      <c r="F95" s="7" t="str">
        <f aca="false">IF(E95&lt;=0.7,"A",IF(E95&lt;=0.9,"B","C"))</f>
        <v>C</v>
      </c>
      <c r="G95" s="7" t="n">
        <v>455</v>
      </c>
      <c r="H95" s="7" t="n">
        <v>50</v>
      </c>
    </row>
    <row r="96" customFormat="false" ht="15" hidden="false" customHeight="false" outlineLevel="0" collapsed="false">
      <c r="A96" s="7" t="n">
        <v>95</v>
      </c>
      <c r="B96" s="7" t="s">
        <v>130</v>
      </c>
      <c r="C96" s="7" t="n">
        <v>9.7</v>
      </c>
      <c r="D96" s="8" t="n">
        <f aca="false">C96/SUM($C$2:$C$160)</f>
        <v>0.000366964147224503</v>
      </c>
      <c r="E96" s="8" t="n">
        <f aca="false">E95+D96</f>
        <v>0.992078114182596</v>
      </c>
      <c r="F96" s="7" t="str">
        <f aca="false">IF(E96&lt;=0.7,"A",IF(E96&lt;=0.9,"B","C"))</f>
        <v>C</v>
      </c>
      <c r="G96" s="7" t="n">
        <v>119</v>
      </c>
      <c r="H96" s="7" t="n">
        <v>50</v>
      </c>
    </row>
    <row r="97" customFormat="false" ht="15" hidden="false" customHeight="false" outlineLevel="0" collapsed="false">
      <c r="A97" s="7" t="n">
        <v>96</v>
      </c>
      <c r="B97" s="7" t="s">
        <v>131</v>
      </c>
      <c r="C97" s="7" t="n">
        <v>9.5</v>
      </c>
      <c r="D97" s="8" t="n">
        <f aca="false">C97/SUM($C$2:$C$160)</f>
        <v>0.000359397876147709</v>
      </c>
      <c r="E97" s="8" t="n">
        <f aca="false">E96+D97</f>
        <v>0.992437512058744</v>
      </c>
      <c r="F97" s="7" t="str">
        <f aca="false">IF(E97&lt;=0.7,"A",IF(E97&lt;=0.9,"B","C"))</f>
        <v>C</v>
      </c>
      <c r="G97" s="7" t="n">
        <v>35</v>
      </c>
      <c r="H97" s="7" t="n">
        <v>50</v>
      </c>
    </row>
    <row r="98" customFormat="false" ht="15" hidden="false" customHeight="false" outlineLevel="0" collapsed="false">
      <c r="A98" s="7" t="n">
        <v>97</v>
      </c>
      <c r="B98" s="7" t="s">
        <v>132</v>
      </c>
      <c r="C98" s="7" t="n">
        <v>8.9</v>
      </c>
      <c r="D98" s="8" t="n">
        <f aca="false">C98/SUM($C$2:$C$160)</f>
        <v>0.000336699062917327</v>
      </c>
      <c r="E98" s="8" t="n">
        <f aca="false">E97+D98</f>
        <v>0.992774211121661</v>
      </c>
      <c r="F98" s="7" t="str">
        <f aca="false">IF(E98&lt;=0.7,"A",IF(E98&lt;=0.9,"B","C"))</f>
        <v>C</v>
      </c>
      <c r="G98" s="7" t="n">
        <v>208</v>
      </c>
      <c r="H98" s="7" t="n">
        <v>50</v>
      </c>
    </row>
    <row r="99" customFormat="false" ht="15" hidden="false" customHeight="false" outlineLevel="0" collapsed="false">
      <c r="A99" s="7" t="n">
        <v>98</v>
      </c>
      <c r="B99" s="7" t="s">
        <v>133</v>
      </c>
      <c r="C99" s="7" t="n">
        <v>8.9</v>
      </c>
      <c r="D99" s="8" t="n">
        <f aca="false">C99/SUM($C$2:$C$160)</f>
        <v>0.000336699062917327</v>
      </c>
      <c r="E99" s="8" t="n">
        <f aca="false">E98+D99</f>
        <v>0.993110910184579</v>
      </c>
      <c r="F99" s="7" t="str">
        <f aca="false">IF(E99&lt;=0.7,"A",IF(E99&lt;=0.9,"B","C"))</f>
        <v>C</v>
      </c>
      <c r="G99" s="7" t="n">
        <v>49</v>
      </c>
      <c r="H99" s="7" t="n">
        <v>50</v>
      </c>
    </row>
    <row r="100" customFormat="false" ht="15" hidden="false" customHeight="false" outlineLevel="0" collapsed="false">
      <c r="A100" s="7" t="n">
        <v>99</v>
      </c>
      <c r="B100" s="7" t="s">
        <v>134</v>
      </c>
      <c r="C100" s="7" t="n">
        <v>8.9</v>
      </c>
      <c r="D100" s="8" t="n">
        <f aca="false">C100/SUM($C$2:$C$160)</f>
        <v>0.000336699062917327</v>
      </c>
      <c r="E100" s="8" t="n">
        <f aca="false">E99+D100</f>
        <v>0.993447609247496</v>
      </c>
      <c r="F100" s="7" t="str">
        <f aca="false">IF(E100&lt;=0.7,"A",IF(E100&lt;=0.9,"B","C"))</f>
        <v>C</v>
      </c>
      <c r="G100" s="7" t="n">
        <v>150</v>
      </c>
      <c r="H100" s="7" t="n">
        <v>50</v>
      </c>
    </row>
    <row r="101" customFormat="false" ht="15" hidden="false" customHeight="false" outlineLevel="0" collapsed="false">
      <c r="A101" s="7" t="n">
        <v>100</v>
      </c>
      <c r="B101" s="7" t="s">
        <v>135</v>
      </c>
      <c r="C101" s="7" t="n">
        <v>8.4</v>
      </c>
      <c r="D101" s="8" t="n">
        <f aca="false">C101/SUM($C$2:$C$160)</f>
        <v>0.000317783385225343</v>
      </c>
      <c r="E101" s="8" t="n">
        <f aca="false">E100+D101</f>
        <v>0.993765392632721</v>
      </c>
      <c r="F101" s="7" t="str">
        <f aca="false">IF(E101&lt;=0.7,"A",IF(E101&lt;=0.9,"B","C"))</f>
        <v>C</v>
      </c>
      <c r="G101" s="7" t="n">
        <v>155</v>
      </c>
      <c r="H101" s="7" t="n">
        <v>50</v>
      </c>
    </row>
    <row r="102" customFormat="false" ht="15" hidden="false" customHeight="false" outlineLevel="0" collapsed="false">
      <c r="A102" s="7" t="n">
        <v>101</v>
      </c>
      <c r="B102" s="7" t="s">
        <v>136</v>
      </c>
      <c r="C102" s="7" t="n">
        <v>8.1</v>
      </c>
      <c r="D102" s="8" t="n">
        <f aca="false">C102/SUM($C$2:$C$160)</f>
        <v>0.000306433978610152</v>
      </c>
      <c r="E102" s="8" t="n">
        <f aca="false">E101+D102</f>
        <v>0.994071826611332</v>
      </c>
      <c r="F102" s="7" t="str">
        <f aca="false">IF(E102&lt;=0.7,"A",IF(E102&lt;=0.9,"B","C"))</f>
        <v>C</v>
      </c>
      <c r="G102" s="7" t="n">
        <v>50</v>
      </c>
      <c r="H102" s="7" t="n">
        <v>50</v>
      </c>
    </row>
    <row r="103" customFormat="false" ht="15" hidden="false" customHeight="false" outlineLevel="0" collapsed="false">
      <c r="A103" s="7" t="n">
        <v>102</v>
      </c>
      <c r="B103" s="7" t="s">
        <v>137</v>
      </c>
      <c r="C103" s="7" t="n">
        <v>8.1</v>
      </c>
      <c r="D103" s="8" t="n">
        <f aca="false">C103/SUM($C$2:$C$160)</f>
        <v>0.000306433978610152</v>
      </c>
      <c r="E103" s="8" t="n">
        <f aca="false">E102+D103</f>
        <v>0.994378260589942</v>
      </c>
      <c r="F103" s="7" t="str">
        <f aca="false">IF(E103&lt;=0.7,"A",IF(E103&lt;=0.9,"B","C"))</f>
        <v>C</v>
      </c>
      <c r="G103" s="7" t="n">
        <v>52</v>
      </c>
      <c r="H103" s="7" t="n">
        <v>50</v>
      </c>
    </row>
    <row r="104" customFormat="false" ht="15" hidden="false" customHeight="false" outlineLevel="0" collapsed="false">
      <c r="A104" s="7" t="n">
        <v>103</v>
      </c>
      <c r="B104" s="7" t="s">
        <v>138</v>
      </c>
      <c r="C104" s="7" t="n">
        <v>7</v>
      </c>
      <c r="D104" s="8" t="n">
        <f aca="false">C104/SUM($C$2:$C$160)</f>
        <v>0.000264819487687785</v>
      </c>
      <c r="E104" s="8" t="n">
        <f aca="false">E103+D104</f>
        <v>0.99464308007763</v>
      </c>
      <c r="F104" s="7" t="str">
        <f aca="false">IF(E104&lt;=0.7,"A",IF(E104&lt;=0.9,"B","C"))</f>
        <v>C</v>
      </c>
      <c r="G104" s="7" t="n">
        <v>153</v>
      </c>
      <c r="H104" s="7" t="n">
        <v>50</v>
      </c>
    </row>
    <row r="105" customFormat="false" ht="15" hidden="false" customHeight="false" outlineLevel="0" collapsed="false">
      <c r="A105" s="7" t="n">
        <v>104</v>
      </c>
      <c r="B105" s="7" t="s">
        <v>139</v>
      </c>
      <c r="C105" s="7" t="n">
        <v>6.8</v>
      </c>
      <c r="D105" s="8" t="n">
        <f aca="false">C105/SUM($C$2:$C$160)</f>
        <v>0.000257253216610992</v>
      </c>
      <c r="E105" s="8" t="n">
        <f aca="false">E104+D105</f>
        <v>0.99490033329424</v>
      </c>
      <c r="F105" s="7" t="str">
        <f aca="false">IF(E105&lt;=0.7,"A",IF(E105&lt;=0.9,"B","C"))</f>
        <v>C</v>
      </c>
      <c r="G105" s="7" t="n">
        <v>15</v>
      </c>
      <c r="H105" s="7" t="n">
        <v>50</v>
      </c>
    </row>
    <row r="106" customFormat="false" ht="15" hidden="false" customHeight="false" outlineLevel="0" collapsed="false">
      <c r="A106" s="7" t="n">
        <v>105</v>
      </c>
      <c r="B106" s="7" t="s">
        <v>140</v>
      </c>
      <c r="C106" s="7" t="n">
        <v>6.8</v>
      </c>
      <c r="D106" s="8" t="n">
        <f aca="false">C106/SUM($C$2:$C$160)</f>
        <v>0.000257253216610992</v>
      </c>
      <c r="E106" s="8" t="n">
        <f aca="false">E105+D106</f>
        <v>0.995157586510851</v>
      </c>
      <c r="F106" s="7" t="str">
        <f aca="false">IF(E106&lt;=0.7,"A",IF(E106&lt;=0.9,"B","C"))</f>
        <v>C</v>
      </c>
      <c r="G106" s="7" t="n">
        <v>40</v>
      </c>
      <c r="H106" s="7" t="n">
        <v>50</v>
      </c>
    </row>
    <row r="107" customFormat="false" ht="15" hidden="false" customHeight="false" outlineLevel="0" collapsed="false">
      <c r="A107" s="7" t="n">
        <v>106</v>
      </c>
      <c r="B107" s="7" t="s">
        <v>141</v>
      </c>
      <c r="C107" s="7" t="n">
        <v>6.2</v>
      </c>
      <c r="D107" s="8" t="n">
        <f aca="false">C107/SUM($C$2:$C$160)</f>
        <v>0.00023455440338061</v>
      </c>
      <c r="E107" s="8" t="n">
        <f aca="false">E106+D107</f>
        <v>0.995392140914232</v>
      </c>
      <c r="F107" s="7" t="str">
        <f aca="false">IF(E107&lt;=0.7,"A",IF(E107&lt;=0.9,"B","C"))</f>
        <v>C</v>
      </c>
      <c r="G107" s="7" t="n">
        <v>83</v>
      </c>
      <c r="H107" s="7" t="n">
        <v>100</v>
      </c>
    </row>
    <row r="108" customFormat="false" ht="15" hidden="false" customHeight="false" outlineLevel="0" collapsed="false">
      <c r="A108" s="7" t="n">
        <v>107</v>
      </c>
      <c r="B108" s="7" t="s">
        <v>142</v>
      </c>
      <c r="C108" s="7" t="n">
        <v>6.2</v>
      </c>
      <c r="D108" s="8" t="n">
        <f aca="false">C108/SUM($C$2:$C$160)</f>
        <v>0.00023455440338061</v>
      </c>
      <c r="E108" s="8" t="n">
        <f aca="false">E107+D108</f>
        <v>0.995626695317613</v>
      </c>
      <c r="F108" s="7" t="str">
        <f aca="false">IF(E108&lt;=0.7,"A",IF(E108&lt;=0.9,"B","C"))</f>
        <v>C</v>
      </c>
      <c r="G108" s="7" t="n">
        <v>130</v>
      </c>
      <c r="H108" s="7" t="n">
        <v>50</v>
      </c>
    </row>
    <row r="109" customFormat="false" ht="15" hidden="false" customHeight="false" outlineLevel="0" collapsed="false">
      <c r="A109" s="7" t="n">
        <v>108</v>
      </c>
      <c r="B109" s="7" t="s">
        <v>143</v>
      </c>
      <c r="C109" s="7" t="n">
        <v>5.7</v>
      </c>
      <c r="D109" s="8" t="n">
        <f aca="false">C109/SUM($C$2:$C$160)</f>
        <v>0.000215638725688625</v>
      </c>
      <c r="E109" s="8" t="n">
        <f aca="false">E108+D109</f>
        <v>0.995842334043301</v>
      </c>
      <c r="F109" s="7" t="str">
        <f aca="false">IF(E109&lt;=0.7,"A",IF(E109&lt;=0.9,"B","C"))</f>
        <v>C</v>
      </c>
      <c r="G109" s="7" t="n">
        <v>42</v>
      </c>
      <c r="H109" s="7" t="n">
        <v>50</v>
      </c>
    </row>
    <row r="110" customFormat="false" ht="15" hidden="false" customHeight="false" outlineLevel="0" collapsed="false">
      <c r="A110" s="7" t="n">
        <v>109</v>
      </c>
      <c r="B110" s="7" t="s">
        <v>144</v>
      </c>
      <c r="C110" s="7" t="n">
        <v>5.4</v>
      </c>
      <c r="D110" s="8" t="n">
        <f aca="false">C110/SUM($C$2:$C$160)</f>
        <v>0.000204289319073434</v>
      </c>
      <c r="E110" s="8" t="n">
        <f aca="false">E109+D110</f>
        <v>0.996046623362375</v>
      </c>
      <c r="F110" s="7" t="str">
        <f aca="false">IF(E110&lt;=0.7,"A",IF(E110&lt;=0.9,"B","C"))</f>
        <v>C</v>
      </c>
      <c r="G110" s="7" t="n">
        <v>76</v>
      </c>
      <c r="H110" s="7" t="n">
        <v>50</v>
      </c>
    </row>
    <row r="111" customFormat="false" ht="15" hidden="false" customHeight="false" outlineLevel="0" collapsed="false">
      <c r="A111" s="7" t="n">
        <v>110</v>
      </c>
      <c r="B111" s="7" t="s">
        <v>145</v>
      </c>
      <c r="C111" s="7" t="n">
        <v>5.1</v>
      </c>
      <c r="D111" s="8" t="n">
        <f aca="false">C111/SUM($C$2:$C$160)</f>
        <v>0.000192939912458244</v>
      </c>
      <c r="E111" s="8" t="n">
        <f aca="false">E110+D111</f>
        <v>0.996239563274833</v>
      </c>
      <c r="F111" s="7" t="str">
        <f aca="false">IF(E111&lt;=0.7,"A",IF(E111&lt;=0.9,"B","C"))</f>
        <v>C</v>
      </c>
      <c r="G111" s="7" t="n">
        <v>31</v>
      </c>
      <c r="H111" s="7" t="n">
        <v>0</v>
      </c>
    </row>
    <row r="112" customFormat="false" ht="15" hidden="false" customHeight="false" outlineLevel="0" collapsed="false">
      <c r="A112" s="7" t="n">
        <v>111</v>
      </c>
      <c r="B112" s="7" t="s">
        <v>146</v>
      </c>
      <c r="C112" s="7" t="n">
        <v>5.1</v>
      </c>
      <c r="D112" s="8" t="n">
        <f aca="false">C112/SUM($C$2:$C$160)</f>
        <v>0.000192939912458244</v>
      </c>
      <c r="E112" s="8" t="n">
        <f aca="false">E111+D112</f>
        <v>0.996432503187291</v>
      </c>
      <c r="F112" s="7" t="str">
        <f aca="false">IF(E112&lt;=0.7,"A",IF(E112&lt;=0.9,"B","C"))</f>
        <v>C</v>
      </c>
      <c r="G112" s="7" t="n">
        <v>26</v>
      </c>
      <c r="H112" s="7" t="n">
        <v>50</v>
      </c>
    </row>
    <row r="113" customFormat="false" ht="15" hidden="false" customHeight="false" outlineLevel="0" collapsed="false">
      <c r="A113" s="7" t="n">
        <v>112</v>
      </c>
      <c r="B113" s="7" t="s">
        <v>147</v>
      </c>
      <c r="C113" s="7" t="n">
        <v>5.1</v>
      </c>
      <c r="D113" s="8" t="n">
        <f aca="false">C113/SUM($C$2:$C$160)</f>
        <v>0.000192939912458244</v>
      </c>
      <c r="E113" s="8" t="n">
        <f aca="false">E112+D113</f>
        <v>0.99662544309975</v>
      </c>
      <c r="F113" s="7" t="str">
        <f aca="false">IF(E113&lt;=0.7,"A",IF(E113&lt;=0.9,"B","C"))</f>
        <v>C</v>
      </c>
      <c r="G113" s="7" t="n">
        <v>215</v>
      </c>
      <c r="H113" s="7" t="n">
        <v>50</v>
      </c>
    </row>
    <row r="114" customFormat="false" ht="15" hidden="false" customHeight="false" outlineLevel="0" collapsed="false">
      <c r="A114" s="7" t="n">
        <v>113</v>
      </c>
      <c r="B114" s="7" t="s">
        <v>148</v>
      </c>
      <c r="C114" s="7" t="n">
        <v>4.9</v>
      </c>
      <c r="D114" s="8" t="n">
        <f aca="false">C114/SUM($C$2:$C$160)</f>
        <v>0.00018537364138145</v>
      </c>
      <c r="E114" s="8" t="n">
        <f aca="false">E113+D114</f>
        <v>0.996810816741131</v>
      </c>
      <c r="F114" s="7" t="str">
        <f aca="false">IF(E114&lt;=0.7,"A",IF(E114&lt;=0.9,"B","C"))</f>
        <v>C</v>
      </c>
      <c r="G114" s="7" t="n">
        <v>128</v>
      </c>
      <c r="H114" s="7" t="n">
        <v>50</v>
      </c>
    </row>
    <row r="115" customFormat="false" ht="15" hidden="false" customHeight="false" outlineLevel="0" collapsed="false">
      <c r="A115" s="7" t="n">
        <v>114</v>
      </c>
      <c r="B115" s="7" t="s">
        <v>149</v>
      </c>
      <c r="C115" s="7" t="n">
        <v>4.9</v>
      </c>
      <c r="D115" s="8" t="n">
        <f aca="false">C115/SUM($C$2:$C$160)</f>
        <v>0.00018537364138145</v>
      </c>
      <c r="E115" s="8" t="n">
        <f aca="false">E114+D115</f>
        <v>0.996996190382513</v>
      </c>
      <c r="F115" s="7" t="str">
        <f aca="false">IF(E115&lt;=0.7,"A",IF(E115&lt;=0.9,"B","C"))</f>
        <v>C</v>
      </c>
      <c r="G115" s="7" t="n">
        <v>124</v>
      </c>
      <c r="H115" s="7" t="n">
        <v>80</v>
      </c>
    </row>
    <row r="116" customFormat="false" ht="15" hidden="false" customHeight="false" outlineLevel="0" collapsed="false">
      <c r="A116" s="7" t="n">
        <v>115</v>
      </c>
      <c r="B116" s="7" t="s">
        <v>150</v>
      </c>
      <c r="C116" s="7" t="n">
        <v>4.3</v>
      </c>
      <c r="D116" s="8" t="n">
        <f aca="false">C116/SUM($C$2:$C$160)</f>
        <v>0.000162674828151068</v>
      </c>
      <c r="E116" s="8" t="n">
        <f aca="false">E115+D116</f>
        <v>0.997158865210664</v>
      </c>
      <c r="F116" s="7" t="str">
        <f aca="false">IF(E116&lt;=0.7,"A",IF(E116&lt;=0.9,"B","C"))</f>
        <v>C</v>
      </c>
      <c r="G116" s="7" t="n">
        <v>68</v>
      </c>
      <c r="H116" s="7" t="n">
        <v>50</v>
      </c>
    </row>
    <row r="117" customFormat="false" ht="15" hidden="false" customHeight="false" outlineLevel="0" collapsed="false">
      <c r="A117" s="7" t="n">
        <v>116</v>
      </c>
      <c r="B117" s="7" t="s">
        <v>151</v>
      </c>
      <c r="C117" s="7" t="n">
        <v>4.3</v>
      </c>
      <c r="D117" s="8" t="n">
        <f aca="false">C117/SUM($C$2:$C$160)</f>
        <v>0.000162674828151068</v>
      </c>
      <c r="E117" s="8" t="n">
        <f aca="false">E116+D117</f>
        <v>0.997321540038815</v>
      </c>
      <c r="F117" s="7" t="str">
        <f aca="false">IF(E117&lt;=0.7,"A",IF(E117&lt;=0.9,"B","C"))</f>
        <v>C</v>
      </c>
      <c r="G117" s="7" t="n">
        <v>41</v>
      </c>
      <c r="H117" s="7" t="n">
        <v>50</v>
      </c>
    </row>
    <row r="118" customFormat="false" ht="15" hidden="false" customHeight="false" outlineLevel="0" collapsed="false">
      <c r="A118" s="7" t="n">
        <v>117</v>
      </c>
      <c r="B118" s="7" t="s">
        <v>152</v>
      </c>
      <c r="C118" s="7" t="n">
        <v>4.1</v>
      </c>
      <c r="D118" s="8" t="n">
        <f aca="false">C118/SUM($C$2:$C$160)</f>
        <v>0.000155108557074274</v>
      </c>
      <c r="E118" s="8" t="n">
        <f aca="false">E117+D118</f>
        <v>0.997476648595889</v>
      </c>
      <c r="F118" s="7" t="str">
        <f aca="false">IF(E118&lt;=0.7,"A",IF(E118&lt;=0.9,"B","C"))</f>
        <v>C</v>
      </c>
      <c r="G118" s="7" t="n">
        <v>65</v>
      </c>
      <c r="H118" s="7" t="n">
        <v>200</v>
      </c>
    </row>
    <row r="119" customFormat="false" ht="15" hidden="false" customHeight="false" outlineLevel="0" collapsed="false">
      <c r="A119" s="7" t="n">
        <v>118</v>
      </c>
      <c r="B119" s="7" t="s">
        <v>153</v>
      </c>
      <c r="C119" s="7" t="n">
        <v>4.1</v>
      </c>
      <c r="D119" s="8" t="n">
        <f aca="false">C119/SUM($C$2:$C$160)</f>
        <v>0.000155108557074274</v>
      </c>
      <c r="E119" s="8" t="n">
        <f aca="false">E118+D119</f>
        <v>0.997631757152963</v>
      </c>
      <c r="F119" s="7" t="str">
        <f aca="false">IF(E119&lt;=0.7,"A",IF(E119&lt;=0.9,"B","C"))</f>
        <v>C</v>
      </c>
      <c r="G119" s="7" t="n">
        <v>60</v>
      </c>
      <c r="H119" s="7" t="n">
        <v>50</v>
      </c>
    </row>
    <row r="120" customFormat="false" ht="15" hidden="false" customHeight="false" outlineLevel="0" collapsed="false">
      <c r="A120" s="7" t="n">
        <v>119</v>
      </c>
      <c r="B120" s="7" t="s">
        <v>154</v>
      </c>
      <c r="C120" s="7" t="n">
        <v>4.1</v>
      </c>
      <c r="D120" s="8" t="n">
        <f aca="false">C120/SUM($C$2:$C$160)</f>
        <v>0.000155108557074274</v>
      </c>
      <c r="E120" s="8" t="n">
        <f aca="false">E119+D120</f>
        <v>0.997786865710037</v>
      </c>
      <c r="F120" s="7" t="str">
        <f aca="false">IF(E120&lt;=0.7,"A",IF(E120&lt;=0.9,"B","C"))</f>
        <v>C</v>
      </c>
      <c r="G120" s="7" t="n">
        <v>23</v>
      </c>
      <c r="H120" s="7" t="n">
        <v>50</v>
      </c>
    </row>
    <row r="121" customFormat="false" ht="15" hidden="false" customHeight="false" outlineLevel="0" collapsed="false">
      <c r="A121" s="7" t="n">
        <v>120</v>
      </c>
      <c r="B121" s="7" t="s">
        <v>155</v>
      </c>
      <c r="C121" s="7" t="n">
        <v>3.8</v>
      </c>
      <c r="D121" s="8" t="n">
        <f aca="false">C121/SUM($C$2:$C$160)</f>
        <v>0.000143759150459084</v>
      </c>
      <c r="E121" s="8" t="n">
        <f aca="false">E120+D121</f>
        <v>0.997930624860496</v>
      </c>
      <c r="F121" s="7" t="str">
        <f aca="false">IF(E121&lt;=0.7,"A",IF(E121&lt;=0.9,"B","C"))</f>
        <v>C</v>
      </c>
      <c r="G121" s="7" t="n">
        <v>86</v>
      </c>
      <c r="H121" s="7" t="n">
        <v>50</v>
      </c>
    </row>
    <row r="122" customFormat="false" ht="15" hidden="false" customHeight="false" outlineLevel="0" collapsed="false">
      <c r="A122" s="7" t="n">
        <v>121</v>
      </c>
      <c r="B122" s="7" t="s">
        <v>156</v>
      </c>
      <c r="C122" s="7" t="n">
        <v>3.2</v>
      </c>
      <c r="D122" s="8" t="n">
        <f aca="false">C122/SUM($C$2:$C$160)</f>
        <v>0.000121060337228702</v>
      </c>
      <c r="E122" s="8" t="n">
        <f aca="false">E121+D122</f>
        <v>0.998051685197725</v>
      </c>
      <c r="F122" s="7" t="str">
        <f aca="false">IF(E122&lt;=0.7,"A",IF(E122&lt;=0.9,"B","C"))</f>
        <v>C</v>
      </c>
      <c r="G122" s="7" t="n">
        <v>61</v>
      </c>
      <c r="H122" s="7" t="n">
        <v>100</v>
      </c>
    </row>
    <row r="123" customFormat="false" ht="15" hidden="false" customHeight="false" outlineLevel="0" collapsed="false">
      <c r="A123" s="7" t="n">
        <v>122</v>
      </c>
      <c r="B123" s="7" t="s">
        <v>157</v>
      </c>
      <c r="C123" s="7" t="n">
        <v>3.2</v>
      </c>
      <c r="D123" s="8" t="n">
        <f aca="false">C123/SUM($C$2:$C$160)</f>
        <v>0.000121060337228702</v>
      </c>
      <c r="E123" s="8" t="n">
        <f aca="false">E122+D123</f>
        <v>0.998172745534954</v>
      </c>
      <c r="F123" s="7" t="str">
        <f aca="false">IF(E123&lt;=0.7,"A",IF(E123&lt;=0.9,"B","C"))</f>
        <v>C</v>
      </c>
      <c r="G123" s="7" t="n">
        <v>29</v>
      </c>
      <c r="H123" s="7" t="n">
        <v>250</v>
      </c>
    </row>
    <row r="124" customFormat="false" ht="15" hidden="false" customHeight="false" outlineLevel="0" collapsed="false">
      <c r="A124" s="7" t="n">
        <v>123</v>
      </c>
      <c r="B124" s="7" t="s">
        <v>158</v>
      </c>
      <c r="C124" s="7" t="n">
        <v>3</v>
      </c>
      <c r="D124" s="8" t="n">
        <f aca="false">C124/SUM($C$2:$C$160)</f>
        <v>0.000113494066151908</v>
      </c>
      <c r="E124" s="8" t="n">
        <f aca="false">E123+D124</f>
        <v>0.998286239601106</v>
      </c>
      <c r="F124" s="7" t="str">
        <f aca="false">IF(E124&lt;=0.7,"A",IF(E124&lt;=0.9,"B","C"))</f>
        <v>C</v>
      </c>
      <c r="G124" s="7" t="n">
        <v>124</v>
      </c>
      <c r="H124" s="7" t="n">
        <v>100</v>
      </c>
    </row>
    <row r="125" customFormat="false" ht="15" hidden="false" customHeight="false" outlineLevel="0" collapsed="false">
      <c r="A125" s="7" t="n">
        <v>124</v>
      </c>
      <c r="B125" s="7" t="s">
        <v>159</v>
      </c>
      <c r="C125" s="7" t="n">
        <v>3</v>
      </c>
      <c r="D125" s="8" t="n">
        <f aca="false">C125/SUM($C$2:$C$160)</f>
        <v>0.000113494066151908</v>
      </c>
      <c r="E125" s="8" t="n">
        <f aca="false">E124+D125</f>
        <v>0.998399733667258</v>
      </c>
      <c r="F125" s="7" t="str">
        <f aca="false">IF(E125&lt;=0.7,"A",IF(E125&lt;=0.9,"B","C"))</f>
        <v>C</v>
      </c>
      <c r="G125" s="7" t="n">
        <v>91</v>
      </c>
      <c r="H125" s="7" t="n">
        <v>50</v>
      </c>
    </row>
    <row r="126" customFormat="false" ht="15" hidden="false" customHeight="false" outlineLevel="0" collapsed="false">
      <c r="A126" s="7" t="n">
        <v>125</v>
      </c>
      <c r="B126" s="7" t="s">
        <v>160</v>
      </c>
      <c r="C126" s="7" t="n">
        <v>2.7</v>
      </c>
      <c r="D126" s="8" t="n">
        <f aca="false">C126/SUM($C$2:$C$160)</f>
        <v>0.000102144659536717</v>
      </c>
      <c r="E126" s="8" t="n">
        <f aca="false">E125+D126</f>
        <v>0.998501878326794</v>
      </c>
      <c r="F126" s="7" t="str">
        <f aca="false">IF(E126&lt;=0.7,"A",IF(E126&lt;=0.9,"B","C"))</f>
        <v>C</v>
      </c>
      <c r="G126" s="7" t="n">
        <v>21</v>
      </c>
      <c r="H126" s="7" t="n">
        <v>50</v>
      </c>
    </row>
    <row r="127" customFormat="false" ht="15" hidden="false" customHeight="false" outlineLevel="0" collapsed="false">
      <c r="A127" s="7" t="n">
        <v>126</v>
      </c>
      <c r="B127" s="7" t="s">
        <v>161</v>
      </c>
      <c r="C127" s="7" t="n">
        <v>2.7</v>
      </c>
      <c r="D127" s="8" t="n">
        <f aca="false">C127/SUM($C$2:$C$160)</f>
        <v>0.000102144659536717</v>
      </c>
      <c r="E127" s="8" t="n">
        <f aca="false">E126+D127</f>
        <v>0.998604022986331</v>
      </c>
      <c r="F127" s="7" t="str">
        <f aca="false">IF(E127&lt;=0.7,"A",IF(E127&lt;=0.9,"B","C"))</f>
        <v>C</v>
      </c>
      <c r="G127" s="7" t="n">
        <v>93</v>
      </c>
      <c r="H127" s="7" t="n">
        <v>150</v>
      </c>
    </row>
    <row r="128" customFormat="false" ht="15" hidden="false" customHeight="false" outlineLevel="0" collapsed="false">
      <c r="A128" s="7" t="n">
        <v>127</v>
      </c>
      <c r="B128" s="7" t="s">
        <v>162</v>
      </c>
      <c r="C128" s="7" t="n">
        <v>2.4</v>
      </c>
      <c r="D128" s="8" t="n">
        <f aca="false">C128/SUM($C$2:$C$160)</f>
        <v>9.07952529215264E-005</v>
      </c>
      <c r="E128" s="8" t="n">
        <f aca="false">E127+D128</f>
        <v>0.998694818239253</v>
      </c>
      <c r="F128" s="7" t="str">
        <f aca="false">IF(E128&lt;=0.7,"A",IF(E128&lt;=0.9,"B","C"))</f>
        <v>C</v>
      </c>
      <c r="G128" s="7" t="n">
        <v>28</v>
      </c>
      <c r="H128" s="7" t="n">
        <v>500</v>
      </c>
    </row>
    <row r="129" customFormat="false" ht="15" hidden="false" customHeight="false" outlineLevel="0" collapsed="false">
      <c r="A129" s="7" t="n">
        <v>128</v>
      </c>
      <c r="B129" s="7" t="s">
        <v>163</v>
      </c>
      <c r="C129" s="7" t="n">
        <v>2.4</v>
      </c>
      <c r="D129" s="8" t="n">
        <f aca="false">C129/SUM($C$2:$C$160)</f>
        <v>9.07952529215264E-005</v>
      </c>
      <c r="E129" s="8" t="n">
        <f aca="false">E128+D129</f>
        <v>0.998785613492174</v>
      </c>
      <c r="F129" s="7" t="str">
        <f aca="false">IF(E129&lt;=0.7,"A",IF(E129&lt;=0.9,"B","C"))</f>
        <v>C</v>
      </c>
      <c r="G129" s="7" t="n">
        <v>12</v>
      </c>
      <c r="H129" s="7" t="n">
        <v>50</v>
      </c>
    </row>
    <row r="130" customFormat="false" ht="15" hidden="false" customHeight="false" outlineLevel="0" collapsed="false">
      <c r="A130" s="7" t="n">
        <v>129</v>
      </c>
      <c r="B130" s="7" t="s">
        <v>164</v>
      </c>
      <c r="C130" s="7" t="n">
        <v>2.4</v>
      </c>
      <c r="D130" s="8" t="n">
        <f aca="false">C130/SUM($C$2:$C$160)</f>
        <v>9.07952529215264E-005</v>
      </c>
      <c r="E130" s="8" t="n">
        <f aca="false">E129+D130</f>
        <v>0.998876408745096</v>
      </c>
      <c r="F130" s="7" t="str">
        <f aca="false">IF(E130&lt;=0.7,"A",IF(E130&lt;=0.9,"B","C"))</f>
        <v>C</v>
      </c>
      <c r="G130" s="7" t="n">
        <v>33</v>
      </c>
      <c r="H130" s="7" t="n">
        <v>300</v>
      </c>
    </row>
    <row r="131" customFormat="false" ht="15" hidden="false" customHeight="false" outlineLevel="0" collapsed="false">
      <c r="A131" s="7" t="n">
        <v>130</v>
      </c>
      <c r="B131" s="7" t="s">
        <v>165</v>
      </c>
      <c r="C131" s="7" t="n">
        <v>2.2</v>
      </c>
      <c r="D131" s="8" t="n">
        <f aca="false">C131/SUM($C$2:$C$160)</f>
        <v>8.32289818447326E-005</v>
      </c>
      <c r="E131" s="8" t="n">
        <f aca="false">E130+D131</f>
        <v>0.99895963772694</v>
      </c>
      <c r="F131" s="7" t="str">
        <f aca="false">IF(E131&lt;=0.7,"A",IF(E131&lt;=0.9,"B","C"))</f>
        <v>C</v>
      </c>
      <c r="G131" s="7" t="n">
        <v>396</v>
      </c>
      <c r="H131" s="7" t="n">
        <v>50</v>
      </c>
    </row>
    <row r="132" customFormat="false" ht="15" hidden="false" customHeight="false" outlineLevel="0" collapsed="false">
      <c r="A132" s="7" t="n">
        <v>131</v>
      </c>
      <c r="B132" s="7" t="s">
        <v>166</v>
      </c>
      <c r="C132" s="7" t="n">
        <v>2.2</v>
      </c>
      <c r="D132" s="8" t="n">
        <f aca="false">C132/SUM($C$2:$C$160)</f>
        <v>8.32289818447326E-005</v>
      </c>
      <c r="E132" s="8" t="n">
        <f aca="false">E131+D132</f>
        <v>0.999042866708785</v>
      </c>
      <c r="F132" s="7" t="str">
        <f aca="false">IF(E132&lt;=0.7,"A",IF(E132&lt;=0.9,"B","C"))</f>
        <v>C</v>
      </c>
      <c r="G132" s="7" t="n">
        <v>106</v>
      </c>
      <c r="H132" s="7" t="n">
        <v>50</v>
      </c>
    </row>
    <row r="133" customFormat="false" ht="15" hidden="false" customHeight="false" outlineLevel="0" collapsed="false">
      <c r="A133" s="7" t="n">
        <v>132</v>
      </c>
      <c r="B133" s="7" t="s">
        <v>167</v>
      </c>
      <c r="C133" s="7" t="n">
        <v>2.2</v>
      </c>
      <c r="D133" s="8" t="n">
        <f aca="false">C133/SUM($C$2:$C$160)</f>
        <v>8.32289818447326E-005</v>
      </c>
      <c r="E133" s="8" t="n">
        <f aca="false">E132+D133</f>
        <v>0.99912609569063</v>
      </c>
      <c r="F133" s="7" t="str">
        <f aca="false">IF(E133&lt;=0.7,"A",IF(E133&lt;=0.9,"B","C"))</f>
        <v>C</v>
      </c>
      <c r="G133" s="7" t="n">
        <v>8</v>
      </c>
      <c r="H133" s="7" t="n">
        <v>0</v>
      </c>
    </row>
    <row r="134" customFormat="false" ht="15" hidden="false" customHeight="false" outlineLevel="0" collapsed="false">
      <c r="A134" s="7" t="n">
        <v>133</v>
      </c>
      <c r="B134" s="7" t="s">
        <v>168</v>
      </c>
      <c r="C134" s="7" t="n">
        <v>2.2</v>
      </c>
      <c r="D134" s="8" t="n">
        <f aca="false">C134/SUM($C$2:$C$160)</f>
        <v>8.32289818447326E-005</v>
      </c>
      <c r="E134" s="8" t="n">
        <f aca="false">E133+D134</f>
        <v>0.999209324672475</v>
      </c>
      <c r="F134" s="7" t="str">
        <f aca="false">IF(E134&lt;=0.7,"A",IF(E134&lt;=0.9,"B","C"))</f>
        <v>C</v>
      </c>
      <c r="G134" s="7" t="n">
        <v>8</v>
      </c>
      <c r="H134" s="7" t="n">
        <v>50</v>
      </c>
    </row>
    <row r="135" customFormat="false" ht="15" hidden="false" customHeight="false" outlineLevel="0" collapsed="false">
      <c r="A135" s="7" t="n">
        <v>134</v>
      </c>
      <c r="B135" s="7" t="s">
        <v>169</v>
      </c>
      <c r="C135" s="7" t="n">
        <v>1.9</v>
      </c>
      <c r="D135" s="8" t="n">
        <f aca="false">C135/SUM($C$2:$C$160)</f>
        <v>7.18795752295418E-005</v>
      </c>
      <c r="E135" s="8" t="n">
        <f aca="false">E134+D135</f>
        <v>0.999281204247704</v>
      </c>
      <c r="F135" s="7" t="str">
        <f aca="false">IF(E135&lt;=0.7,"A",IF(E135&lt;=0.9,"B","C"))</f>
        <v>C</v>
      </c>
      <c r="G135" s="7" t="n">
        <v>115</v>
      </c>
      <c r="H135" s="7" t="n">
        <v>50</v>
      </c>
    </row>
    <row r="136" customFormat="false" ht="15" hidden="false" customHeight="false" outlineLevel="0" collapsed="false">
      <c r="A136" s="7" t="n">
        <v>135</v>
      </c>
      <c r="B136" s="7" t="s">
        <v>170</v>
      </c>
      <c r="C136" s="7" t="n">
        <v>1.6</v>
      </c>
      <c r="D136" s="8" t="n">
        <f aca="false">C136/SUM($C$2:$C$160)</f>
        <v>6.0530168614351E-005</v>
      </c>
      <c r="E136" s="8" t="n">
        <f aca="false">E135+D136</f>
        <v>0.999341734416319</v>
      </c>
      <c r="F136" s="7" t="str">
        <f aca="false">IF(E136&lt;=0.7,"A",IF(E136&lt;=0.9,"B","C"))</f>
        <v>C</v>
      </c>
      <c r="G136" s="7" t="n">
        <v>153</v>
      </c>
      <c r="H136" s="7" t="n">
        <v>50</v>
      </c>
    </row>
    <row r="137" customFormat="false" ht="15" hidden="false" customHeight="false" outlineLevel="0" collapsed="false">
      <c r="A137" s="7" t="n">
        <v>136</v>
      </c>
      <c r="B137" s="7" t="s">
        <v>171</v>
      </c>
      <c r="C137" s="7" t="n">
        <v>1.6</v>
      </c>
      <c r="D137" s="8" t="n">
        <f aca="false">C137/SUM($C$2:$C$160)</f>
        <v>6.0530168614351E-005</v>
      </c>
      <c r="E137" s="8" t="n">
        <f aca="false">E136+D137</f>
        <v>0.999402264584933</v>
      </c>
      <c r="F137" s="7" t="str">
        <f aca="false">IF(E137&lt;=0.7,"A",IF(E137&lt;=0.9,"B","C"))</f>
        <v>C</v>
      </c>
      <c r="G137" s="7" t="n">
        <v>22</v>
      </c>
      <c r="H137" s="7" t="n">
        <v>50</v>
      </c>
    </row>
    <row r="138" customFormat="false" ht="15" hidden="false" customHeight="false" outlineLevel="0" collapsed="false">
      <c r="A138" s="7" t="n">
        <v>137</v>
      </c>
      <c r="B138" s="7" t="s">
        <v>172</v>
      </c>
      <c r="C138" s="7" t="n">
        <v>1.4</v>
      </c>
      <c r="D138" s="8" t="n">
        <f aca="false">C138/SUM($C$2:$C$160)</f>
        <v>5.29638975375571E-005</v>
      </c>
      <c r="E138" s="8" t="n">
        <f aca="false">E137+D138</f>
        <v>0.999455228482471</v>
      </c>
      <c r="F138" s="7" t="str">
        <f aca="false">IF(E138&lt;=0.7,"A",IF(E138&lt;=0.9,"B","C"))</f>
        <v>C</v>
      </c>
      <c r="G138" s="7" t="n">
        <v>57</v>
      </c>
      <c r="H138" s="7" t="n">
        <v>50</v>
      </c>
    </row>
    <row r="139" customFormat="false" ht="15" hidden="false" customHeight="false" outlineLevel="0" collapsed="false">
      <c r="A139" s="7" t="n">
        <v>138</v>
      </c>
      <c r="B139" s="7" t="s">
        <v>173</v>
      </c>
      <c r="C139" s="7" t="n">
        <v>1.1</v>
      </c>
      <c r="D139" s="8" t="n">
        <f aca="false">C139/SUM($C$2:$C$160)</f>
        <v>4.16144909223663E-005</v>
      </c>
      <c r="E139" s="8" t="n">
        <f aca="false">E138+D139</f>
        <v>0.999496842973393</v>
      </c>
      <c r="F139" s="7" t="str">
        <f aca="false">IF(E139&lt;=0.7,"A",IF(E139&lt;=0.9,"B","C"))</f>
        <v>C</v>
      </c>
      <c r="G139" s="7" t="n">
        <v>26</v>
      </c>
      <c r="H139" s="7" t="n">
        <v>0</v>
      </c>
    </row>
    <row r="140" customFormat="false" ht="15" hidden="false" customHeight="false" outlineLevel="0" collapsed="false">
      <c r="A140" s="7" t="n">
        <v>139</v>
      </c>
      <c r="B140" s="7" t="s">
        <v>174</v>
      </c>
      <c r="C140" s="7" t="n">
        <v>1.1</v>
      </c>
      <c r="D140" s="8" t="n">
        <f aca="false">C140/SUM($C$2:$C$160)</f>
        <v>4.16144909223663E-005</v>
      </c>
      <c r="E140" s="8" t="n">
        <f aca="false">E139+D140</f>
        <v>0.999538457464315</v>
      </c>
      <c r="F140" s="7" t="str">
        <f aca="false">IF(E140&lt;=0.7,"A",IF(E140&lt;=0.9,"B","C"))</f>
        <v>C</v>
      </c>
      <c r="G140" s="7" t="n">
        <v>2</v>
      </c>
      <c r="H140" s="7" t="n">
        <v>50</v>
      </c>
    </row>
    <row r="141" customFormat="false" ht="15" hidden="false" customHeight="false" outlineLevel="0" collapsed="false">
      <c r="A141" s="7" t="n">
        <v>140</v>
      </c>
      <c r="B141" s="7" t="s">
        <v>175</v>
      </c>
      <c r="C141" s="7" t="n">
        <v>1.1</v>
      </c>
      <c r="D141" s="8" t="n">
        <f aca="false">C141/SUM($C$2:$C$160)</f>
        <v>4.16144909223663E-005</v>
      </c>
      <c r="E141" s="8" t="n">
        <f aca="false">E140+D141</f>
        <v>0.999580071955238</v>
      </c>
      <c r="F141" s="7" t="str">
        <f aca="false">IF(E141&lt;=0.7,"A",IF(E141&lt;=0.9,"B","C"))</f>
        <v>C</v>
      </c>
      <c r="G141" s="7" t="n">
        <v>2</v>
      </c>
      <c r="H141" s="7" t="n">
        <v>50</v>
      </c>
    </row>
    <row r="142" customFormat="false" ht="15" hidden="false" customHeight="false" outlineLevel="0" collapsed="false">
      <c r="A142" s="7" t="n">
        <v>141</v>
      </c>
      <c r="B142" s="7" t="s">
        <v>176</v>
      </c>
      <c r="C142" s="7" t="n">
        <v>1.1</v>
      </c>
      <c r="D142" s="8" t="n">
        <f aca="false">C142/SUM($C$2:$C$160)</f>
        <v>4.16144909223663E-005</v>
      </c>
      <c r="E142" s="8" t="n">
        <f aca="false">E141+D142</f>
        <v>0.99962168644616</v>
      </c>
      <c r="F142" s="7" t="str">
        <f aca="false">IF(E142&lt;=0.7,"A",IF(E142&lt;=0.9,"B","C"))</f>
        <v>C</v>
      </c>
      <c r="G142" s="7" t="n">
        <v>164</v>
      </c>
      <c r="H142" s="7" t="n">
        <v>50</v>
      </c>
    </row>
    <row r="143" customFormat="false" ht="15" hidden="false" customHeight="false" outlineLevel="0" collapsed="false">
      <c r="A143" s="7" t="n">
        <v>142</v>
      </c>
      <c r="B143" s="7" t="s">
        <v>177</v>
      </c>
      <c r="C143" s="7" t="n">
        <v>1.1</v>
      </c>
      <c r="D143" s="8" t="n">
        <f aca="false">C143/SUM($C$2:$C$160)</f>
        <v>4.16144909223663E-005</v>
      </c>
      <c r="E143" s="8" t="n">
        <f aca="false">E142+D143</f>
        <v>0.999663300937082</v>
      </c>
      <c r="F143" s="7" t="str">
        <f aca="false">IF(E143&lt;=0.7,"A",IF(E143&lt;=0.9,"B","C"))</f>
        <v>C</v>
      </c>
      <c r="G143" s="7" t="n">
        <v>57</v>
      </c>
      <c r="H143" s="7" t="n">
        <v>50</v>
      </c>
    </row>
    <row r="144" customFormat="false" ht="15" hidden="false" customHeight="false" outlineLevel="0" collapsed="false">
      <c r="A144" s="7" t="n">
        <v>143</v>
      </c>
      <c r="B144" s="7" t="s">
        <v>178</v>
      </c>
      <c r="C144" s="7" t="n">
        <v>1.1</v>
      </c>
      <c r="D144" s="8" t="n">
        <f aca="false">C144/SUM($C$2:$C$160)</f>
        <v>4.16144909223663E-005</v>
      </c>
      <c r="E144" s="8" t="n">
        <f aca="false">E143+D144</f>
        <v>0.999704915428005</v>
      </c>
      <c r="F144" s="7" t="str">
        <f aca="false">IF(E144&lt;=0.7,"A",IF(E144&lt;=0.9,"B","C"))</f>
        <v>C</v>
      </c>
      <c r="G144" s="7" t="n">
        <v>51</v>
      </c>
      <c r="H144" s="7" t="n">
        <v>50</v>
      </c>
    </row>
    <row r="145" customFormat="false" ht="15" hidden="false" customHeight="false" outlineLevel="0" collapsed="false">
      <c r="A145" s="7" t="n">
        <v>144</v>
      </c>
      <c r="B145" s="7" t="s">
        <v>179</v>
      </c>
      <c r="C145" s="7" t="n">
        <v>0.8</v>
      </c>
      <c r="D145" s="8" t="n">
        <f aca="false">C145/SUM($C$2:$C$160)</f>
        <v>3.02650843071755E-005</v>
      </c>
      <c r="E145" s="8" t="n">
        <f aca="false">E144+D145</f>
        <v>0.999735180512312</v>
      </c>
      <c r="F145" s="7" t="str">
        <f aca="false">IF(E145&lt;=0.7,"A",IF(E145&lt;=0.9,"B","C"))</f>
        <v>C</v>
      </c>
      <c r="G145" s="7" t="n">
        <v>7</v>
      </c>
      <c r="H145" s="7" t="n">
        <v>50</v>
      </c>
    </row>
    <row r="146" customFormat="false" ht="15" hidden="false" customHeight="false" outlineLevel="0" collapsed="false">
      <c r="A146" s="7" t="n">
        <v>145</v>
      </c>
      <c r="B146" s="7" t="s">
        <v>180</v>
      </c>
      <c r="C146" s="7" t="n">
        <v>0.8</v>
      </c>
      <c r="D146" s="8" t="n">
        <f aca="false">C146/SUM($C$2:$C$160)</f>
        <v>3.02650843071755E-005</v>
      </c>
      <c r="E146" s="8" t="n">
        <f aca="false">E145+D146</f>
        <v>0.999765445596619</v>
      </c>
      <c r="F146" s="7" t="str">
        <f aca="false">IF(E146&lt;=0.7,"A",IF(E146&lt;=0.9,"B","C"))</f>
        <v>C</v>
      </c>
      <c r="G146" s="7" t="n">
        <v>57</v>
      </c>
      <c r="H146" s="7" t="n">
        <v>50</v>
      </c>
    </row>
    <row r="147" customFormat="false" ht="15" hidden="false" customHeight="false" outlineLevel="0" collapsed="false">
      <c r="A147" s="7" t="n">
        <v>146</v>
      </c>
      <c r="B147" s="7" t="s">
        <v>181</v>
      </c>
      <c r="C147" s="7" t="n">
        <v>0.8</v>
      </c>
      <c r="D147" s="8" t="n">
        <f aca="false">C147/SUM($C$2:$C$160)</f>
        <v>3.02650843071755E-005</v>
      </c>
      <c r="E147" s="8" t="n">
        <f aca="false">E146+D147</f>
        <v>0.999795710680926</v>
      </c>
      <c r="F147" s="7" t="str">
        <f aca="false">IF(E147&lt;=0.7,"A",IF(E147&lt;=0.9,"B","C"))</f>
        <v>C</v>
      </c>
      <c r="G147" s="7" t="n">
        <v>14</v>
      </c>
      <c r="H147" s="7" t="n">
        <v>50</v>
      </c>
    </row>
    <row r="148" customFormat="false" ht="15" hidden="false" customHeight="false" outlineLevel="0" collapsed="false">
      <c r="A148" s="7" t="n">
        <v>147</v>
      </c>
      <c r="B148" s="7" t="s">
        <v>182</v>
      </c>
      <c r="C148" s="7" t="n">
        <v>0.8</v>
      </c>
      <c r="D148" s="8" t="n">
        <f aca="false">C148/SUM($C$2:$C$160)</f>
        <v>3.02650843071755E-005</v>
      </c>
      <c r="E148" s="8" t="n">
        <f aca="false">E147+D148</f>
        <v>0.999825975765233</v>
      </c>
      <c r="F148" s="7" t="str">
        <f aca="false">IF(E148&lt;=0.7,"A",IF(E148&lt;=0.9,"B","C"))</f>
        <v>C</v>
      </c>
      <c r="G148" s="7" t="n">
        <v>320</v>
      </c>
      <c r="H148" s="7" t="n">
        <v>50</v>
      </c>
    </row>
    <row r="149" customFormat="false" ht="15" hidden="false" customHeight="false" outlineLevel="0" collapsed="false">
      <c r="A149" s="7" t="n">
        <v>148</v>
      </c>
      <c r="B149" s="7" t="s">
        <v>183</v>
      </c>
      <c r="C149" s="7" t="n">
        <v>0.5</v>
      </c>
      <c r="D149" s="8" t="n">
        <f aca="false">C149/SUM($C$2:$C$160)</f>
        <v>1.89156776919847E-005</v>
      </c>
      <c r="E149" s="8" t="n">
        <f aca="false">E148+D149</f>
        <v>0.999844891442925</v>
      </c>
      <c r="F149" s="7" t="str">
        <f aca="false">IF(E149&lt;=0.7,"A",IF(E149&lt;=0.9,"B","C"))</f>
        <v>C</v>
      </c>
      <c r="G149" s="7" t="n">
        <v>12</v>
      </c>
      <c r="H149" s="7" t="n">
        <v>50</v>
      </c>
    </row>
    <row r="150" customFormat="false" ht="15" hidden="false" customHeight="false" outlineLevel="0" collapsed="false">
      <c r="A150" s="7" t="n">
        <v>149</v>
      </c>
      <c r="B150" s="7" t="s">
        <v>184</v>
      </c>
      <c r="C150" s="7" t="n">
        <v>0.5</v>
      </c>
      <c r="D150" s="8" t="n">
        <f aca="false">C150/SUM($C$2:$C$160)</f>
        <v>1.89156776919847E-005</v>
      </c>
      <c r="E150" s="8" t="n">
        <f aca="false">E149+D150</f>
        <v>0.999863807120617</v>
      </c>
      <c r="F150" s="7" t="str">
        <f aca="false">IF(E150&lt;=0.7,"A",IF(E150&lt;=0.9,"B","C"))</f>
        <v>C</v>
      </c>
      <c r="G150" s="7" t="n">
        <v>5</v>
      </c>
      <c r="H150" s="7" t="n">
        <v>50</v>
      </c>
    </row>
    <row r="151" customFormat="false" ht="15" hidden="false" customHeight="false" outlineLevel="0" collapsed="false">
      <c r="A151" s="7" t="n">
        <v>150</v>
      </c>
      <c r="B151" s="7" t="s">
        <v>185</v>
      </c>
      <c r="C151" s="7" t="n">
        <v>0.5</v>
      </c>
      <c r="D151" s="8" t="n">
        <f aca="false">C151/SUM($C$2:$C$160)</f>
        <v>1.89156776919847E-005</v>
      </c>
      <c r="E151" s="8" t="n">
        <f aca="false">E150+D151</f>
        <v>0.999882722798309</v>
      </c>
      <c r="F151" s="7" t="str">
        <f aca="false">IF(E151&lt;=0.7,"A",IF(E151&lt;=0.9,"B","C"))</f>
        <v>C</v>
      </c>
      <c r="G151" s="7" t="n">
        <v>4</v>
      </c>
      <c r="H151" s="7" t="n">
        <v>50</v>
      </c>
    </row>
    <row r="152" customFormat="false" ht="15" hidden="false" customHeight="false" outlineLevel="0" collapsed="false">
      <c r="A152" s="7" t="n">
        <v>151</v>
      </c>
      <c r="B152" s="7" t="s">
        <v>186</v>
      </c>
      <c r="C152" s="7" t="n">
        <v>0.5</v>
      </c>
      <c r="D152" s="8" t="n">
        <f aca="false">C152/SUM($C$2:$C$160)</f>
        <v>1.89156776919847E-005</v>
      </c>
      <c r="E152" s="8" t="n">
        <f aca="false">E151+D152</f>
        <v>0.999901638476001</v>
      </c>
      <c r="F152" s="7" t="str">
        <f aca="false">IF(E152&lt;=0.7,"A",IF(E152&lt;=0.9,"B","C"))</f>
        <v>C</v>
      </c>
      <c r="G152" s="7" t="n">
        <v>3</v>
      </c>
      <c r="H152" s="7" t="n">
        <v>50</v>
      </c>
    </row>
    <row r="153" customFormat="false" ht="15" hidden="false" customHeight="false" outlineLevel="0" collapsed="false">
      <c r="A153" s="7" t="n">
        <v>152</v>
      </c>
      <c r="B153" s="7" t="s">
        <v>187</v>
      </c>
      <c r="C153" s="7" t="n">
        <v>0.5</v>
      </c>
      <c r="D153" s="8" t="n">
        <f aca="false">C153/SUM($C$2:$C$160)</f>
        <v>1.89156776919847E-005</v>
      </c>
      <c r="E153" s="8" t="n">
        <f aca="false">E152+D153</f>
        <v>0.999920554153693</v>
      </c>
      <c r="F153" s="7" t="str">
        <f aca="false">IF(E153&lt;=0.7,"A",IF(E153&lt;=0.9,"B","C"))</f>
        <v>C</v>
      </c>
      <c r="G153" s="7" t="n">
        <v>25</v>
      </c>
      <c r="H153" s="7" t="n">
        <v>50</v>
      </c>
    </row>
    <row r="154" customFormat="false" ht="15" hidden="false" customHeight="false" outlineLevel="0" collapsed="false">
      <c r="A154" s="7" t="n">
        <v>153</v>
      </c>
      <c r="B154" s="7" t="s">
        <v>188</v>
      </c>
      <c r="C154" s="7" t="n">
        <v>0.3</v>
      </c>
      <c r="D154" s="8" t="n">
        <f aca="false">C154/SUM($C$2:$C$160)</f>
        <v>1.13494066151908E-005</v>
      </c>
      <c r="E154" s="8" t="n">
        <f aca="false">E153+D154</f>
        <v>0.999931903560308</v>
      </c>
      <c r="F154" s="7" t="str">
        <f aca="false">IF(E154&lt;=0.7,"A",IF(E154&lt;=0.9,"B","C"))</f>
        <v>C</v>
      </c>
      <c r="G154" s="7" t="n">
        <v>15</v>
      </c>
      <c r="H154" s="7" t="n">
        <v>50</v>
      </c>
    </row>
    <row r="155" customFormat="false" ht="15" hidden="false" customHeight="false" outlineLevel="0" collapsed="false">
      <c r="A155" s="7" t="n">
        <v>154</v>
      </c>
      <c r="B155" s="7" t="s">
        <v>189</v>
      </c>
      <c r="C155" s="7" t="n">
        <v>0.3</v>
      </c>
      <c r="D155" s="8" t="n">
        <f aca="false">C155/SUM($C$2:$C$160)</f>
        <v>1.13494066151908E-005</v>
      </c>
      <c r="E155" s="8" t="n">
        <f aca="false">E154+D155</f>
        <v>0.999943252966923</v>
      </c>
      <c r="F155" s="7" t="str">
        <f aca="false">IF(E155&lt;=0.7,"A",IF(E155&lt;=0.9,"B","C"))</f>
        <v>C</v>
      </c>
      <c r="G155" s="7" t="n">
        <v>9</v>
      </c>
      <c r="H155" s="7" t="n">
        <v>50</v>
      </c>
    </row>
    <row r="156" customFormat="false" ht="15" hidden="false" customHeight="false" outlineLevel="0" collapsed="false">
      <c r="A156" s="7" t="n">
        <v>155</v>
      </c>
      <c r="B156" s="7" t="s">
        <v>190</v>
      </c>
      <c r="C156" s="7" t="n">
        <v>0.3</v>
      </c>
      <c r="D156" s="8" t="n">
        <f aca="false">C156/SUM($C$2:$C$160)</f>
        <v>1.13494066151908E-005</v>
      </c>
      <c r="E156" s="8" t="n">
        <f aca="false">E155+D156</f>
        <v>0.999954602373539</v>
      </c>
      <c r="F156" s="7" t="str">
        <f aca="false">IF(E156&lt;=0.7,"A",IF(E156&lt;=0.9,"B","C"))</f>
        <v>C</v>
      </c>
      <c r="G156" s="7" t="n">
        <v>39</v>
      </c>
      <c r="H156" s="7" t="n">
        <v>50</v>
      </c>
    </row>
    <row r="157" customFormat="false" ht="15" hidden="false" customHeight="false" outlineLevel="0" collapsed="false">
      <c r="A157" s="7" t="n">
        <v>156</v>
      </c>
      <c r="B157" s="7" t="s">
        <v>191</v>
      </c>
      <c r="C157" s="7" t="n">
        <v>0.3</v>
      </c>
      <c r="D157" s="8" t="n">
        <f aca="false">C157/SUM($C$2:$C$160)</f>
        <v>1.13494066151908E-005</v>
      </c>
      <c r="E157" s="8" t="n">
        <f aca="false">E156+D157</f>
        <v>0.999965951780154</v>
      </c>
      <c r="F157" s="7" t="str">
        <f aca="false">IF(E157&lt;=0.7,"A",IF(E157&lt;=0.9,"B","C"))</f>
        <v>C</v>
      </c>
      <c r="G157" s="7" t="n">
        <v>82</v>
      </c>
      <c r="H157" s="7" t="n">
        <v>50</v>
      </c>
    </row>
    <row r="158" customFormat="false" ht="15" hidden="false" customHeight="false" outlineLevel="0" collapsed="false">
      <c r="A158" s="7" t="n">
        <v>157</v>
      </c>
      <c r="B158" s="7" t="s">
        <v>192</v>
      </c>
      <c r="C158" s="7" t="n">
        <v>0.3</v>
      </c>
      <c r="D158" s="8" t="n">
        <f aca="false">C158/SUM($C$2:$C$160)</f>
        <v>1.13494066151908E-005</v>
      </c>
      <c r="E158" s="8" t="n">
        <f aca="false">E157+D158</f>
        <v>0.999977301186769</v>
      </c>
      <c r="F158" s="7" t="str">
        <f aca="false">IF(E158&lt;=0.7,"A",IF(E158&lt;=0.9,"B","C"))</f>
        <v>C</v>
      </c>
      <c r="G158" s="7" t="n">
        <v>99</v>
      </c>
      <c r="H158" s="7" t="n">
        <v>50</v>
      </c>
    </row>
    <row r="159" customFormat="false" ht="15" hidden="false" customHeight="false" outlineLevel="0" collapsed="false">
      <c r="A159" s="7" t="n">
        <v>158</v>
      </c>
      <c r="B159" s="7" t="s">
        <v>193</v>
      </c>
      <c r="C159" s="7" t="n">
        <v>0.3</v>
      </c>
      <c r="D159" s="8" t="n">
        <f aca="false">C159/SUM($C$2:$C$160)</f>
        <v>1.13494066151908E-005</v>
      </c>
      <c r="E159" s="8" t="n">
        <f aca="false">E158+D159</f>
        <v>0.999988650593384</v>
      </c>
      <c r="F159" s="7" t="str">
        <f aca="false">IF(E159&lt;=0.7,"A",IF(E159&lt;=0.9,"B","C"))</f>
        <v>C</v>
      </c>
      <c r="G159" s="7" t="n">
        <v>39</v>
      </c>
      <c r="H159" s="7" t="n">
        <v>0</v>
      </c>
    </row>
    <row r="160" customFormat="false" ht="15" hidden="false" customHeight="false" outlineLevel="0" collapsed="false">
      <c r="A160" s="7" t="n">
        <v>159</v>
      </c>
      <c r="B160" s="7" t="s">
        <v>194</v>
      </c>
      <c r="C160" s="7" t="n">
        <v>0.3</v>
      </c>
      <c r="D160" s="8" t="n">
        <f aca="false">C160/SUM($C$2:$C$160)</f>
        <v>1.13494066151908E-005</v>
      </c>
      <c r="E160" s="8" t="n">
        <f aca="false">E159+D160</f>
        <v>0.999999999999999</v>
      </c>
      <c r="F160" s="7" t="str">
        <f aca="false">IF(E160&lt;=0.7,"A",IF(E160&lt;=0.9,"B","C"))</f>
        <v>C</v>
      </c>
      <c r="G160" s="7" t="n">
        <v>589</v>
      </c>
      <c r="H160" s="7" t="n">
        <v>0</v>
      </c>
    </row>
    <row r="161" customFormat="false" ht="15" hidden="false" customHeight="false" outlineLevel="0" collapsed="false">
      <c r="A161" s="9" t="n">
        <v>160</v>
      </c>
      <c r="B161" s="9" t="s">
        <v>195</v>
      </c>
      <c r="C161" s="9" t="n">
        <v>0</v>
      </c>
      <c r="D161" s="9"/>
      <c r="E161" s="9"/>
      <c r="F161" s="9" t="s">
        <v>196</v>
      </c>
      <c r="G161" s="9" t="n">
        <v>292</v>
      </c>
      <c r="H161" s="9" t="n">
        <v>50</v>
      </c>
    </row>
    <row r="162" customFormat="false" ht="15" hidden="false" customHeight="false" outlineLevel="0" collapsed="false">
      <c r="A162" s="9" t="n">
        <v>161</v>
      </c>
      <c r="B162" s="9" t="s">
        <v>197</v>
      </c>
      <c r="C162" s="9" t="n">
        <v>0</v>
      </c>
      <c r="D162" s="9"/>
      <c r="E162" s="9"/>
      <c r="F162" s="9" t="s">
        <v>196</v>
      </c>
      <c r="G162" s="9" t="n">
        <v>46</v>
      </c>
      <c r="H162" s="9" t="n">
        <v>200</v>
      </c>
    </row>
    <row r="163" customFormat="false" ht="15" hidden="false" customHeight="false" outlineLevel="0" collapsed="false">
      <c r="A163" s="9" t="n">
        <v>162</v>
      </c>
      <c r="B163" s="9" t="s">
        <v>198</v>
      </c>
      <c r="C163" s="9" t="n">
        <v>0</v>
      </c>
      <c r="D163" s="9"/>
      <c r="E163" s="9"/>
      <c r="F163" s="9" t="s">
        <v>196</v>
      </c>
      <c r="G163" s="9" t="n">
        <v>1314</v>
      </c>
      <c r="H163" s="9" t="n">
        <v>50</v>
      </c>
    </row>
    <row r="164" customFormat="false" ht="15" hidden="false" customHeight="false" outlineLevel="0" collapsed="false">
      <c r="A164" s="9" t="n">
        <v>163</v>
      </c>
      <c r="B164" s="9" t="s">
        <v>199</v>
      </c>
      <c r="C164" s="9" t="n">
        <v>0</v>
      </c>
      <c r="D164" s="9"/>
      <c r="E164" s="9"/>
      <c r="F164" s="9" t="s">
        <v>196</v>
      </c>
      <c r="G164" s="9" t="n">
        <v>1000</v>
      </c>
      <c r="H164" s="9" t="n">
        <v>0</v>
      </c>
    </row>
    <row r="165" customFormat="false" ht="15" hidden="false" customHeight="false" outlineLevel="0" collapsed="false">
      <c r="A165" s="9" t="n">
        <v>164</v>
      </c>
      <c r="B165" s="9" t="s">
        <v>200</v>
      </c>
      <c r="C165" s="9" t="n">
        <v>0</v>
      </c>
      <c r="D165" s="9"/>
      <c r="E165" s="9"/>
      <c r="F165" s="9" t="s">
        <v>196</v>
      </c>
      <c r="G165" s="9" t="n">
        <v>1030</v>
      </c>
      <c r="H165" s="9" t="n">
        <v>0</v>
      </c>
    </row>
    <row r="166" customFormat="false" ht="15" hidden="false" customHeight="false" outlineLevel="0" collapsed="false">
      <c r="A166" s="9" t="n">
        <v>165</v>
      </c>
      <c r="B166" s="9" t="s">
        <v>201</v>
      </c>
      <c r="C166" s="9" t="n">
        <v>0</v>
      </c>
      <c r="D166" s="9"/>
      <c r="E166" s="9"/>
      <c r="F166" s="9" t="s">
        <v>196</v>
      </c>
      <c r="G166" s="9" t="n">
        <v>182</v>
      </c>
      <c r="H166" s="9" t="n">
        <v>50</v>
      </c>
    </row>
    <row r="167" customFormat="false" ht="15" hidden="false" customHeight="false" outlineLevel="0" collapsed="false">
      <c r="A167" s="9" t="n">
        <v>166</v>
      </c>
      <c r="B167" s="9" t="s">
        <v>202</v>
      </c>
      <c r="C167" s="9" t="n">
        <v>0</v>
      </c>
      <c r="D167" s="9"/>
      <c r="E167" s="9"/>
      <c r="F167" s="9" t="s">
        <v>196</v>
      </c>
      <c r="G167" s="9" t="n">
        <v>439</v>
      </c>
      <c r="H167" s="9" t="n">
        <v>50</v>
      </c>
    </row>
    <row r="168" customFormat="false" ht="15" hidden="false" customHeight="false" outlineLevel="0" collapsed="false">
      <c r="A168" s="9" t="n">
        <v>167</v>
      </c>
      <c r="B168" s="9" t="s">
        <v>203</v>
      </c>
      <c r="C168" s="9" t="n">
        <v>0</v>
      </c>
      <c r="D168" s="9"/>
      <c r="E168" s="9"/>
      <c r="F168" s="9" t="s">
        <v>196</v>
      </c>
      <c r="G168" s="9" t="n">
        <v>22</v>
      </c>
      <c r="H168" s="9" t="n">
        <v>50</v>
      </c>
    </row>
    <row r="169" customFormat="false" ht="15" hidden="false" customHeight="false" outlineLevel="0" collapsed="false">
      <c r="A169" s="9" t="n">
        <v>168</v>
      </c>
      <c r="B169" s="9" t="s">
        <v>204</v>
      </c>
      <c r="C169" s="9" t="n">
        <v>0</v>
      </c>
      <c r="D169" s="9"/>
      <c r="E169" s="9"/>
      <c r="F169" s="9" t="s">
        <v>196</v>
      </c>
      <c r="G169" s="9" t="n">
        <v>61</v>
      </c>
      <c r="H169" s="9" t="n">
        <v>400</v>
      </c>
    </row>
    <row r="170" customFormat="false" ht="15" hidden="false" customHeight="false" outlineLevel="0" collapsed="false">
      <c r="A170" s="9" t="n">
        <v>169</v>
      </c>
      <c r="B170" s="9" t="s">
        <v>205</v>
      </c>
      <c r="C170" s="9" t="n">
        <v>0</v>
      </c>
      <c r="D170" s="9"/>
      <c r="E170" s="9"/>
      <c r="F170" s="9" t="s">
        <v>196</v>
      </c>
      <c r="G170" s="9" t="n">
        <v>1</v>
      </c>
      <c r="H170" s="9" t="n">
        <v>50</v>
      </c>
    </row>
    <row r="171" customFormat="false" ht="15" hidden="false" customHeight="false" outlineLevel="0" collapsed="false">
      <c r="A171" s="9" t="n">
        <v>170</v>
      </c>
      <c r="B171" s="9" t="s">
        <v>206</v>
      </c>
      <c r="C171" s="9" t="n">
        <v>0</v>
      </c>
      <c r="D171" s="9"/>
      <c r="E171" s="9"/>
      <c r="F171" s="9" t="s">
        <v>196</v>
      </c>
      <c r="G171" s="9" t="n">
        <v>20</v>
      </c>
      <c r="H171" s="9" t="n">
        <v>50</v>
      </c>
    </row>
    <row r="172" customFormat="false" ht="15" hidden="false" customHeight="false" outlineLevel="0" collapsed="false">
      <c r="A172" s="9" t="n">
        <v>171</v>
      </c>
      <c r="B172" s="9" t="s">
        <v>207</v>
      </c>
      <c r="C172" s="9" t="n">
        <v>0</v>
      </c>
      <c r="D172" s="9"/>
      <c r="E172" s="9"/>
      <c r="F172" s="9" t="s">
        <v>196</v>
      </c>
      <c r="G172" s="9" t="n">
        <v>40</v>
      </c>
      <c r="H172" s="9" t="n">
        <v>20</v>
      </c>
    </row>
    <row r="173" customFormat="false" ht="15" hidden="false" customHeight="false" outlineLevel="0" collapsed="false">
      <c r="A173" s="9" t="n">
        <v>172</v>
      </c>
      <c r="B173" s="9" t="s">
        <v>208</v>
      </c>
      <c r="C173" s="9" t="n">
        <v>0</v>
      </c>
      <c r="D173" s="9"/>
      <c r="E173" s="9"/>
      <c r="F173" s="9" t="s">
        <v>196</v>
      </c>
      <c r="G173" s="9" t="n">
        <v>7</v>
      </c>
      <c r="H173" s="9" t="n">
        <v>50</v>
      </c>
    </row>
    <row r="174" customFormat="false" ht="15" hidden="false" customHeight="false" outlineLevel="0" collapsed="false">
      <c r="A174" s="9" t="n">
        <v>173</v>
      </c>
      <c r="B174" s="9" t="s">
        <v>209</v>
      </c>
      <c r="C174" s="9" t="n">
        <v>0</v>
      </c>
      <c r="D174" s="9"/>
      <c r="E174" s="9"/>
      <c r="F174" s="9" t="s">
        <v>196</v>
      </c>
      <c r="G174" s="9" t="n">
        <v>30</v>
      </c>
      <c r="H174" s="9" t="n">
        <v>0</v>
      </c>
    </row>
    <row r="175" customFormat="false" ht="15" hidden="false" customHeight="false" outlineLevel="0" collapsed="false">
      <c r="A175" s="9" t="n">
        <v>174</v>
      </c>
      <c r="B175" s="9" t="s">
        <v>210</v>
      </c>
      <c r="C175" s="9" t="n">
        <v>0</v>
      </c>
      <c r="D175" s="9"/>
      <c r="E175" s="9"/>
      <c r="F175" s="9" t="s">
        <v>196</v>
      </c>
      <c r="G175" s="9" t="n">
        <v>4</v>
      </c>
      <c r="H175" s="9" t="n">
        <v>50</v>
      </c>
    </row>
    <row r="176" customFormat="false" ht="15" hidden="false" customHeight="false" outlineLevel="0" collapsed="false">
      <c r="A176" s="9" t="n">
        <v>175</v>
      </c>
      <c r="B176" s="9" t="s">
        <v>211</v>
      </c>
      <c r="C176" s="9" t="n">
        <v>0</v>
      </c>
      <c r="D176" s="9"/>
      <c r="E176" s="9"/>
      <c r="F176" s="9" t="s">
        <v>196</v>
      </c>
      <c r="G176" s="9" t="n">
        <v>299</v>
      </c>
      <c r="H176" s="9" t="n">
        <v>0</v>
      </c>
    </row>
    <row r="177" customFormat="false" ht="15" hidden="false" customHeight="false" outlineLevel="0" collapsed="false">
      <c r="A177" s="9" t="n">
        <v>176</v>
      </c>
      <c r="B177" s="9" t="s">
        <v>212</v>
      </c>
      <c r="C177" s="9" t="n">
        <v>0</v>
      </c>
      <c r="D177" s="9"/>
      <c r="E177" s="9"/>
      <c r="F177" s="9" t="s">
        <v>196</v>
      </c>
      <c r="G177" s="9" t="n">
        <v>27</v>
      </c>
      <c r="H177" s="9" t="n">
        <v>100</v>
      </c>
    </row>
    <row r="178" customFormat="false" ht="15" hidden="false" customHeight="false" outlineLevel="0" collapsed="false">
      <c r="A178" s="9" t="n">
        <v>177</v>
      </c>
      <c r="B178" s="9" t="s">
        <v>213</v>
      </c>
      <c r="C178" s="9" t="n">
        <v>0</v>
      </c>
      <c r="D178" s="9"/>
      <c r="E178" s="9"/>
      <c r="F178" s="9" t="s">
        <v>196</v>
      </c>
      <c r="G178" s="9" t="n">
        <v>79</v>
      </c>
      <c r="H178" s="9" t="n">
        <v>50</v>
      </c>
    </row>
    <row r="179" customFormat="false" ht="15" hidden="false" customHeight="false" outlineLevel="0" collapsed="false">
      <c r="A179" s="9" t="n">
        <v>178</v>
      </c>
      <c r="B179" s="9" t="s">
        <v>214</v>
      </c>
      <c r="C179" s="9" t="n">
        <v>0</v>
      </c>
      <c r="D179" s="9"/>
      <c r="E179" s="9"/>
      <c r="F179" s="9" t="s">
        <v>196</v>
      </c>
      <c r="G179" s="9" t="n">
        <v>15</v>
      </c>
      <c r="H179" s="9" t="n">
        <v>50</v>
      </c>
    </row>
    <row r="180" customFormat="false" ht="15" hidden="false" customHeight="false" outlineLevel="0" collapsed="false">
      <c r="A180" s="9" t="n">
        <v>179</v>
      </c>
      <c r="B180" s="9" t="s">
        <v>215</v>
      </c>
      <c r="C180" s="9" t="n">
        <v>0</v>
      </c>
      <c r="D180" s="9"/>
      <c r="E180" s="9"/>
      <c r="F180" s="9" t="s">
        <v>196</v>
      </c>
      <c r="G180" s="9" t="n">
        <v>48</v>
      </c>
      <c r="H180" s="9" t="n">
        <v>50</v>
      </c>
    </row>
    <row r="181" customFormat="false" ht="15" hidden="false" customHeight="false" outlineLevel="0" collapsed="false">
      <c r="A181" s="9" t="n">
        <v>180</v>
      </c>
      <c r="B181" s="9" t="s">
        <v>216</v>
      </c>
      <c r="C181" s="9" t="n">
        <v>0</v>
      </c>
      <c r="D181" s="9"/>
      <c r="E181" s="9"/>
      <c r="F181" s="9" t="s">
        <v>196</v>
      </c>
      <c r="G181" s="9" t="n">
        <v>1</v>
      </c>
      <c r="H181" s="9" t="n">
        <v>100</v>
      </c>
    </row>
    <row r="182" customFormat="false" ht="15" hidden="false" customHeight="false" outlineLevel="0" collapsed="false">
      <c r="A182" s="9" t="n">
        <v>181</v>
      </c>
      <c r="B182" s="9" t="s">
        <v>217</v>
      </c>
      <c r="C182" s="9" t="n">
        <v>0</v>
      </c>
      <c r="D182" s="9"/>
      <c r="E182" s="9"/>
      <c r="F182" s="9" t="s">
        <v>196</v>
      </c>
      <c r="G182" s="9" t="n">
        <v>100</v>
      </c>
      <c r="H182" s="9" t="n">
        <v>80</v>
      </c>
    </row>
    <row r="183" customFormat="false" ht="15" hidden="false" customHeight="false" outlineLevel="0" collapsed="false">
      <c r="A183" s="9" t="n">
        <v>182</v>
      </c>
      <c r="B183" s="9" t="s">
        <v>218</v>
      </c>
      <c r="C183" s="9" t="n">
        <v>0</v>
      </c>
      <c r="D183" s="9"/>
      <c r="E183" s="9"/>
      <c r="F183" s="9" t="s">
        <v>196</v>
      </c>
      <c r="G183" s="9" t="n">
        <v>59</v>
      </c>
      <c r="H183" s="9" t="n">
        <v>50</v>
      </c>
    </row>
    <row r="184" customFormat="false" ht="15" hidden="false" customHeight="false" outlineLevel="0" collapsed="false">
      <c r="A184" s="9" t="n">
        <v>183</v>
      </c>
      <c r="B184" s="9" t="s">
        <v>219</v>
      </c>
      <c r="C184" s="9" t="n">
        <v>0</v>
      </c>
      <c r="D184" s="9"/>
      <c r="E184" s="9"/>
      <c r="F184" s="9" t="s">
        <v>196</v>
      </c>
      <c r="G184" s="9" t="n">
        <v>5</v>
      </c>
      <c r="H184" s="9" t="n">
        <v>30</v>
      </c>
    </row>
    <row r="185" customFormat="false" ht="15" hidden="false" customHeight="false" outlineLevel="0" collapsed="false">
      <c r="A185" s="9" t="n">
        <v>184</v>
      </c>
      <c r="B185" s="9" t="s">
        <v>220</v>
      </c>
      <c r="C185" s="9" t="n">
        <v>0</v>
      </c>
      <c r="D185" s="9"/>
      <c r="E185" s="9"/>
      <c r="F185" s="9" t="s">
        <v>196</v>
      </c>
      <c r="G185" s="9" t="n">
        <v>6</v>
      </c>
      <c r="H185" s="9" t="n">
        <v>50</v>
      </c>
    </row>
    <row r="186" customFormat="false" ht="15" hidden="false" customHeight="false" outlineLevel="0" collapsed="false">
      <c r="A186" s="9" t="n">
        <v>185</v>
      </c>
      <c r="B186" s="9" t="s">
        <v>221</v>
      </c>
      <c r="C186" s="9" t="n">
        <v>0</v>
      </c>
      <c r="D186" s="9"/>
      <c r="E186" s="9"/>
      <c r="F186" s="9" t="s">
        <v>196</v>
      </c>
      <c r="G186" s="9" t="n">
        <v>33</v>
      </c>
      <c r="H186" s="9" t="n">
        <v>50</v>
      </c>
    </row>
    <row r="187" customFormat="false" ht="15" hidden="false" customHeight="false" outlineLevel="0" collapsed="false">
      <c r="A187" s="9" t="n">
        <v>186</v>
      </c>
      <c r="B187" s="9" t="s">
        <v>222</v>
      </c>
      <c r="C187" s="9" t="n">
        <v>0</v>
      </c>
      <c r="D187" s="9"/>
      <c r="E187" s="9"/>
      <c r="F187" s="9" t="s">
        <v>196</v>
      </c>
      <c r="G187" s="9" t="n">
        <v>7499</v>
      </c>
      <c r="H187" s="9" t="n">
        <v>450</v>
      </c>
    </row>
  </sheetData>
  <conditionalFormatting sqref="F2:F187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223</v>
      </c>
      <c r="C2" s="7" t="n">
        <v>2859.7</v>
      </c>
      <c r="D2" s="8" t="n">
        <f aca="false">C2/SUM($C$2:$C$182)</f>
        <v>0.117651656964187</v>
      </c>
      <c r="E2" s="8" t="n">
        <f aca="false">D2</f>
        <v>0.117651656964187</v>
      </c>
      <c r="F2" s="7" t="str">
        <f aca="false">IF(E2&lt;=0.7,"A",IF(E2&lt;=0.9,"B","C"))</f>
        <v>A</v>
      </c>
      <c r="G2" s="7" t="n">
        <v>4154</v>
      </c>
      <c r="H2" s="7" t="n">
        <v>6000</v>
      </c>
    </row>
    <row r="3" customFormat="false" ht="15" hidden="false" customHeight="false" outlineLevel="0" collapsed="false">
      <c r="A3" s="7" t="n">
        <v>2</v>
      </c>
      <c r="B3" s="7" t="s">
        <v>224</v>
      </c>
      <c r="C3" s="7" t="n">
        <v>1913.5</v>
      </c>
      <c r="D3" s="8" t="n">
        <f aca="false">C3/SUM($C$2:$C$182)</f>
        <v>0.0787237981609858</v>
      </c>
      <c r="E3" s="8" t="n">
        <f aca="false">E2+D3</f>
        <v>0.196375455125172</v>
      </c>
      <c r="F3" s="7" t="str">
        <f aca="false">IF(E3&lt;=0.7,"A",IF(E3&lt;=0.9,"B","C"))</f>
        <v>A</v>
      </c>
      <c r="G3" s="7" t="n">
        <v>5106</v>
      </c>
      <c r="H3" s="7" t="n">
        <v>3000</v>
      </c>
    </row>
    <row r="4" customFormat="false" ht="15" hidden="false" customHeight="false" outlineLevel="0" collapsed="false">
      <c r="A4" s="7" t="n">
        <v>3</v>
      </c>
      <c r="B4" s="7" t="s">
        <v>225</v>
      </c>
      <c r="C4" s="7" t="n">
        <v>1808.4</v>
      </c>
      <c r="D4" s="8" t="n">
        <f aca="false">C4/SUM($C$2:$C$182)</f>
        <v>0.0743998518914694</v>
      </c>
      <c r="E4" s="8" t="n">
        <f aca="false">E3+D4</f>
        <v>0.270775307016642</v>
      </c>
      <c r="F4" s="7" t="str">
        <f aca="false">IF(E4&lt;=0.7,"A",IF(E4&lt;=0.9,"B","C"))</f>
        <v>A</v>
      </c>
      <c r="G4" s="7" t="n">
        <v>11859</v>
      </c>
      <c r="H4" s="7" t="n">
        <v>6000</v>
      </c>
    </row>
    <row r="5" customFormat="false" ht="15" hidden="false" customHeight="false" outlineLevel="0" collapsed="false">
      <c r="A5" s="7" t="n">
        <v>4</v>
      </c>
      <c r="B5" s="7" t="s">
        <v>226</v>
      </c>
      <c r="C5" s="7" t="n">
        <v>1656.8</v>
      </c>
      <c r="D5" s="8" t="n">
        <f aca="false">C5/SUM($C$2:$C$182)</f>
        <v>0.0681628371011869</v>
      </c>
      <c r="E5" s="8" t="n">
        <f aca="false">E4+D5</f>
        <v>0.338938144117829</v>
      </c>
      <c r="F5" s="7" t="str">
        <f aca="false">IF(E5&lt;=0.7,"A",IF(E5&lt;=0.9,"B","C"))</f>
        <v>A</v>
      </c>
      <c r="G5" s="7" t="n">
        <v>774</v>
      </c>
      <c r="H5" s="7" t="n">
        <v>2500</v>
      </c>
    </row>
    <row r="6" customFormat="false" ht="15" hidden="false" customHeight="false" outlineLevel="0" collapsed="false">
      <c r="A6" s="7" t="n">
        <v>5</v>
      </c>
      <c r="B6" s="7" t="s">
        <v>227</v>
      </c>
      <c r="C6" s="7" t="n">
        <v>1483.5</v>
      </c>
      <c r="D6" s="8" t="n">
        <f aca="false">C6/SUM($C$2:$C$182)</f>
        <v>0.0610330570012137</v>
      </c>
      <c r="E6" s="8" t="n">
        <f aca="false">E5+D6</f>
        <v>0.399971201119042</v>
      </c>
      <c r="F6" s="7" t="str">
        <f aca="false">IF(E6&lt;=0.7,"A",IF(E6&lt;=0.9,"B","C"))</f>
        <v>A</v>
      </c>
      <c r="G6" s="7" t="n">
        <v>2203</v>
      </c>
      <c r="H6" s="7" t="n">
        <v>2300</v>
      </c>
    </row>
    <row r="7" customFormat="false" ht="15" hidden="false" customHeight="false" outlineLevel="0" collapsed="false">
      <c r="A7" s="7" t="n">
        <v>6</v>
      </c>
      <c r="B7" s="7" t="s">
        <v>228</v>
      </c>
      <c r="C7" s="7" t="n">
        <v>1458.6</v>
      </c>
      <c r="D7" s="8" t="n">
        <f aca="false">C7/SUM($C$2:$C$182)</f>
        <v>0.0600086396642873</v>
      </c>
      <c r="E7" s="8" t="n">
        <f aca="false">E6+D7</f>
        <v>0.45997984078333</v>
      </c>
      <c r="F7" s="7" t="str">
        <f aca="false">IF(E7&lt;=0.7,"A",IF(E7&lt;=0.9,"B","C"))</f>
        <v>A</v>
      </c>
      <c r="G7" s="7" t="n">
        <v>1855</v>
      </c>
      <c r="H7" s="7" t="n">
        <v>4000</v>
      </c>
    </row>
    <row r="8" customFormat="false" ht="15" hidden="false" customHeight="false" outlineLevel="0" collapsed="false">
      <c r="A8" s="7" t="n">
        <v>7</v>
      </c>
      <c r="B8" s="7" t="s">
        <v>229</v>
      </c>
      <c r="C8" s="7" t="n">
        <v>1337</v>
      </c>
      <c r="D8" s="8" t="n">
        <f aca="false">C8/SUM($C$2:$C$182)</f>
        <v>0.0550058626293378</v>
      </c>
      <c r="E8" s="8" t="n">
        <f aca="false">E7+D8</f>
        <v>0.514985703412668</v>
      </c>
      <c r="F8" s="7" t="str">
        <f aca="false">IF(E8&lt;=0.7,"A",IF(E8&lt;=0.9,"B","C"))</f>
        <v>A</v>
      </c>
      <c r="G8" s="7" t="n">
        <v>574</v>
      </c>
      <c r="H8" s="7" t="n">
        <v>1350</v>
      </c>
    </row>
    <row r="9" customFormat="false" ht="15" hidden="false" customHeight="false" outlineLevel="0" collapsed="false">
      <c r="A9" s="7" t="n">
        <v>8</v>
      </c>
      <c r="B9" s="7" t="s">
        <v>230</v>
      </c>
      <c r="C9" s="7" t="n">
        <v>983.5</v>
      </c>
      <c r="D9" s="8" t="n">
        <f aca="false">C9/SUM($C$2:$C$182)</f>
        <v>0.0404624277456647</v>
      </c>
      <c r="E9" s="8" t="n">
        <f aca="false">E8+D9</f>
        <v>0.555448131158332</v>
      </c>
      <c r="F9" s="7" t="str">
        <f aca="false">IF(E9&lt;=0.7,"A",IF(E9&lt;=0.9,"B","C"))</f>
        <v>A</v>
      </c>
      <c r="G9" s="7" t="n">
        <v>282</v>
      </c>
      <c r="H9" s="7" t="n">
        <v>900</v>
      </c>
    </row>
    <row r="10" customFormat="false" ht="15" hidden="false" customHeight="false" outlineLevel="0" collapsed="false">
      <c r="A10" s="7" t="n">
        <v>9</v>
      </c>
      <c r="B10" s="7" t="s">
        <v>231</v>
      </c>
      <c r="C10" s="7" t="n">
        <v>942.4</v>
      </c>
      <c r="D10" s="8" t="n">
        <f aca="false">C10/SUM($C$2:$C$182)</f>
        <v>0.0387715220208586</v>
      </c>
      <c r="E10" s="8" t="n">
        <f aca="false">E9+D10</f>
        <v>0.594219653179191</v>
      </c>
      <c r="F10" s="7" t="str">
        <f aca="false">IF(E10&lt;=0.7,"A",IF(E10&lt;=0.9,"B","C"))</f>
        <v>A</v>
      </c>
      <c r="G10" s="7" t="n">
        <v>54</v>
      </c>
      <c r="H10" s="7" t="n">
        <v>1700</v>
      </c>
    </row>
    <row r="11" customFormat="false" ht="15" hidden="false" customHeight="false" outlineLevel="0" collapsed="false">
      <c r="A11" s="7" t="n">
        <v>10</v>
      </c>
      <c r="B11" s="7" t="s">
        <v>232</v>
      </c>
      <c r="C11" s="7" t="n">
        <v>575.9</v>
      </c>
      <c r="D11" s="8" t="n">
        <f aca="false">C11/SUM($C$2:$C$182)</f>
        <v>0.0236932507765413</v>
      </c>
      <c r="E11" s="8" t="n">
        <f aca="false">E10+D11</f>
        <v>0.617912903955732</v>
      </c>
      <c r="F11" s="7" t="str">
        <f aca="false">IF(E11&lt;=0.7,"A",IF(E11&lt;=0.9,"B","C"))</f>
        <v>A</v>
      </c>
      <c r="G11" s="7" t="n">
        <v>1609</v>
      </c>
      <c r="H11" s="7" t="n">
        <v>700</v>
      </c>
    </row>
    <row r="12" customFormat="false" ht="15" hidden="false" customHeight="false" outlineLevel="0" collapsed="false">
      <c r="A12" s="7" t="n">
        <v>11</v>
      </c>
      <c r="B12" s="7" t="s">
        <v>233</v>
      </c>
      <c r="C12" s="7" t="n">
        <v>464.3</v>
      </c>
      <c r="D12" s="8" t="n">
        <f aca="false">C12/SUM($C$2:$C$182)</f>
        <v>0.0191018863267027</v>
      </c>
      <c r="E12" s="8" t="n">
        <f aca="false">E11+D12</f>
        <v>0.637014790282435</v>
      </c>
      <c r="F12" s="7" t="str">
        <f aca="false">IF(E12&lt;=0.7,"A",IF(E12&lt;=0.9,"B","C"))</f>
        <v>A</v>
      </c>
      <c r="G12" s="7" t="n">
        <v>388</v>
      </c>
      <c r="H12" s="7" t="n">
        <v>400</v>
      </c>
    </row>
    <row r="13" customFormat="false" ht="15" hidden="false" customHeight="false" outlineLevel="0" collapsed="false">
      <c r="A13" s="7" t="n">
        <v>12</v>
      </c>
      <c r="B13" s="7" t="s">
        <v>234</v>
      </c>
      <c r="C13" s="7" t="n">
        <v>446.5</v>
      </c>
      <c r="D13" s="8" t="n">
        <f aca="false">C13/SUM($C$2:$C$182)</f>
        <v>0.0183695719252052</v>
      </c>
      <c r="E13" s="8" t="n">
        <f aca="false">E12+D13</f>
        <v>0.65538436220764</v>
      </c>
      <c r="F13" s="7" t="str">
        <f aca="false">IF(E13&lt;=0.7,"A",IF(E13&lt;=0.9,"B","C"))</f>
        <v>A</v>
      </c>
      <c r="G13" s="7" t="n">
        <v>939</v>
      </c>
      <c r="H13" s="7" t="n">
        <v>650</v>
      </c>
    </row>
    <row r="14" customFormat="false" ht="15" hidden="false" customHeight="false" outlineLevel="0" collapsed="false">
      <c r="A14" s="7" t="n">
        <v>13</v>
      </c>
      <c r="B14" s="7" t="s">
        <v>235</v>
      </c>
      <c r="C14" s="7" t="n">
        <v>399.2</v>
      </c>
      <c r="D14" s="8" t="n">
        <f aca="false">C14/SUM($C$2:$C$182)</f>
        <v>0.0164235903976303</v>
      </c>
      <c r="E14" s="8" t="n">
        <f aca="false">E13+D14</f>
        <v>0.67180795260527</v>
      </c>
      <c r="F14" s="7" t="str">
        <f aca="false">IF(E14&lt;=0.7,"A",IF(E14&lt;=0.9,"B","C"))</f>
        <v>A</v>
      </c>
      <c r="G14" s="7" t="n">
        <v>2370</v>
      </c>
      <c r="H14" s="7" t="n">
        <v>1000</v>
      </c>
    </row>
    <row r="15" customFormat="false" ht="15" hidden="false" customHeight="false" outlineLevel="0" collapsed="false">
      <c r="A15" s="7" t="n">
        <v>14</v>
      </c>
      <c r="B15" s="7" t="s">
        <v>236</v>
      </c>
      <c r="C15" s="7" t="n">
        <v>378.4</v>
      </c>
      <c r="D15" s="8" t="n">
        <f aca="false">C15/SUM($C$2:$C$182)</f>
        <v>0.0155678522205994</v>
      </c>
      <c r="E15" s="8" t="n">
        <f aca="false">E14+D15</f>
        <v>0.68737580482587</v>
      </c>
      <c r="F15" s="7" t="str">
        <f aca="false">IF(E15&lt;=0.7,"A",IF(E15&lt;=0.9,"B","C"))</f>
        <v>A</v>
      </c>
      <c r="G15" s="7" t="n">
        <v>2421</v>
      </c>
      <c r="H15" s="7" t="n">
        <v>50</v>
      </c>
    </row>
    <row r="16" customFormat="false" ht="15" hidden="false" customHeight="false" outlineLevel="0" collapsed="false">
      <c r="A16" s="7" t="n">
        <v>15</v>
      </c>
      <c r="B16" s="7" t="s">
        <v>237</v>
      </c>
      <c r="C16" s="7" t="n">
        <v>364.3</v>
      </c>
      <c r="D16" s="8" t="n">
        <f aca="false">C16/SUM($C$2:$C$182)</f>
        <v>0.014987760475593</v>
      </c>
      <c r="E16" s="8" t="n">
        <f aca="false">E15+D16</f>
        <v>0.702363565301463</v>
      </c>
      <c r="F16" s="7" t="str">
        <f aca="false">IF(E16&lt;=0.7,"A",IF(E16&lt;=0.9,"B","C"))</f>
        <v>B</v>
      </c>
      <c r="G16" s="7" t="n">
        <v>5197</v>
      </c>
      <c r="H16" s="7" t="n">
        <v>1000</v>
      </c>
    </row>
    <row r="17" customFormat="false" ht="15" hidden="false" customHeight="false" outlineLevel="0" collapsed="false">
      <c r="A17" s="7" t="n">
        <v>16</v>
      </c>
      <c r="B17" s="7" t="s">
        <v>238</v>
      </c>
      <c r="C17" s="7" t="n">
        <v>335.1</v>
      </c>
      <c r="D17" s="8" t="n">
        <f aca="false">C17/SUM($C$2:$C$182)</f>
        <v>0.0137864357270689</v>
      </c>
      <c r="E17" s="8" t="n">
        <f aca="false">E16+D17</f>
        <v>0.716150001028532</v>
      </c>
      <c r="F17" s="7" t="str">
        <f aca="false">IF(E17&lt;=0.7,"A",IF(E17&lt;=0.9,"B","C"))</f>
        <v>B</v>
      </c>
      <c r="G17" s="7" t="n">
        <v>645</v>
      </c>
      <c r="H17" s="7" t="n">
        <v>600</v>
      </c>
    </row>
    <row r="18" customFormat="false" ht="15" hidden="false" customHeight="false" outlineLevel="0" collapsed="false">
      <c r="A18" s="7" t="n">
        <v>17</v>
      </c>
      <c r="B18" s="7" t="s">
        <v>239</v>
      </c>
      <c r="C18" s="7" t="n">
        <v>308.6</v>
      </c>
      <c r="D18" s="8" t="n">
        <f aca="false">C18/SUM($C$2:$C$182)</f>
        <v>0.0126961923765248</v>
      </c>
      <c r="E18" s="8" t="n">
        <f aca="false">E17+D18</f>
        <v>0.728846193405056</v>
      </c>
      <c r="F18" s="7" t="str">
        <f aca="false">IF(E18&lt;=0.7,"A",IF(E18&lt;=0.9,"B","C"))</f>
        <v>B</v>
      </c>
      <c r="G18" s="7" t="n">
        <v>4454</v>
      </c>
      <c r="H18" s="7" t="n">
        <v>2000</v>
      </c>
    </row>
    <row r="19" customFormat="false" ht="15" hidden="false" customHeight="false" outlineLevel="0" collapsed="false">
      <c r="A19" s="7" t="n">
        <v>18</v>
      </c>
      <c r="B19" s="7" t="s">
        <v>240</v>
      </c>
      <c r="C19" s="7" t="n">
        <v>306.5</v>
      </c>
      <c r="D19" s="8" t="n">
        <f aca="false">C19/SUM($C$2:$C$182)</f>
        <v>0.0126097957336515</v>
      </c>
      <c r="E19" s="8" t="n">
        <f aca="false">E18+D19</f>
        <v>0.741455989138708</v>
      </c>
      <c r="F19" s="7" t="str">
        <f aca="false">IF(E19&lt;=0.7,"A",IF(E19&lt;=0.9,"B","C"))</f>
        <v>B</v>
      </c>
      <c r="G19" s="7" t="n">
        <v>215</v>
      </c>
      <c r="H19" s="7" t="n">
        <v>350</v>
      </c>
    </row>
    <row r="20" customFormat="false" ht="15" hidden="false" customHeight="false" outlineLevel="0" collapsed="false">
      <c r="A20" s="7" t="n">
        <v>19</v>
      </c>
      <c r="B20" s="7" t="s">
        <v>241</v>
      </c>
      <c r="C20" s="7" t="n">
        <v>302.7</v>
      </c>
      <c r="D20" s="8" t="n">
        <f aca="false">C20/SUM($C$2:$C$182)</f>
        <v>0.0124534589513093</v>
      </c>
      <c r="E20" s="8" t="n">
        <f aca="false">E19+D20</f>
        <v>0.753909448090017</v>
      </c>
      <c r="F20" s="7" t="str">
        <f aca="false">IF(E20&lt;=0.7,"A",IF(E20&lt;=0.9,"B","C"))</f>
        <v>B</v>
      </c>
      <c r="G20" s="7" t="n">
        <v>1311</v>
      </c>
      <c r="H20" s="7" t="n">
        <v>400</v>
      </c>
    </row>
    <row r="21" customFormat="false" ht="15" hidden="false" customHeight="false" outlineLevel="0" collapsed="false">
      <c r="A21" s="7" t="n">
        <v>20</v>
      </c>
      <c r="B21" s="7" t="s">
        <v>242</v>
      </c>
      <c r="C21" s="7" t="n">
        <v>296.8</v>
      </c>
      <c r="D21" s="8" t="n">
        <f aca="false">C21/SUM($C$2:$C$182)</f>
        <v>0.0122107255260938</v>
      </c>
      <c r="E21" s="8" t="n">
        <f aca="false">E20+D21</f>
        <v>0.766120173616111</v>
      </c>
      <c r="F21" s="7" t="str">
        <f aca="false">IF(E21&lt;=0.7,"A",IF(E21&lt;=0.9,"B","C"))</f>
        <v>B</v>
      </c>
      <c r="G21" s="7" t="n">
        <v>639</v>
      </c>
      <c r="H21" s="7" t="n">
        <v>400</v>
      </c>
    </row>
    <row r="22" customFormat="false" ht="15" hidden="false" customHeight="false" outlineLevel="0" collapsed="false">
      <c r="A22" s="7" t="n">
        <v>21</v>
      </c>
      <c r="B22" s="7" t="s">
        <v>243</v>
      </c>
      <c r="C22" s="7" t="n">
        <v>276.8</v>
      </c>
      <c r="D22" s="8" t="n">
        <f aca="false">C22/SUM($C$2:$C$182)</f>
        <v>0.0113879003558719</v>
      </c>
      <c r="E22" s="8" t="n">
        <f aca="false">E21+D22</f>
        <v>0.777508073971983</v>
      </c>
      <c r="F22" s="7" t="str">
        <f aca="false">IF(E22&lt;=0.7,"A",IF(E22&lt;=0.9,"B","C"))</f>
        <v>B</v>
      </c>
      <c r="G22" s="7" t="n">
        <v>130</v>
      </c>
      <c r="H22" s="7" t="n">
        <v>100</v>
      </c>
    </row>
    <row r="23" customFormat="false" ht="15" hidden="false" customHeight="false" outlineLevel="0" collapsed="false">
      <c r="A23" s="7" t="n">
        <v>22</v>
      </c>
      <c r="B23" s="7" t="s">
        <v>244</v>
      </c>
      <c r="C23" s="7" t="n">
        <v>274.1</v>
      </c>
      <c r="D23" s="8" t="n">
        <f aca="false">C23/SUM($C$2:$C$182)</f>
        <v>0.0112768189578919</v>
      </c>
      <c r="E23" s="8" t="n">
        <f aca="false">E22+D23</f>
        <v>0.788784892929875</v>
      </c>
      <c r="F23" s="7" t="str">
        <f aca="false">IF(E23&lt;=0.7,"A",IF(E23&lt;=0.9,"B","C"))</f>
        <v>B</v>
      </c>
      <c r="G23" s="7" t="n">
        <v>462</v>
      </c>
      <c r="H23" s="7" t="n">
        <v>800</v>
      </c>
    </row>
    <row r="24" customFormat="false" ht="15" hidden="false" customHeight="false" outlineLevel="0" collapsed="false">
      <c r="A24" s="7" t="n">
        <v>23</v>
      </c>
      <c r="B24" s="7" t="s">
        <v>245</v>
      </c>
      <c r="C24" s="7" t="n">
        <v>247.8</v>
      </c>
      <c r="D24" s="8" t="n">
        <f aca="false">C24/SUM($C$2:$C$182)</f>
        <v>0.01019480385905</v>
      </c>
      <c r="E24" s="8" t="n">
        <f aca="false">E23+D24</f>
        <v>0.798979696788925</v>
      </c>
      <c r="F24" s="7" t="str">
        <f aca="false">IF(E24&lt;=0.7,"A",IF(E24&lt;=0.9,"B","C"))</f>
        <v>B</v>
      </c>
      <c r="G24" s="7" t="n">
        <v>380</v>
      </c>
      <c r="H24" s="7" t="n">
        <v>250</v>
      </c>
    </row>
    <row r="25" customFormat="false" ht="15" hidden="false" customHeight="false" outlineLevel="0" collapsed="false">
      <c r="A25" s="7" t="n">
        <v>24</v>
      </c>
      <c r="B25" s="7" t="s">
        <v>246</v>
      </c>
      <c r="C25" s="7" t="n">
        <v>228.9</v>
      </c>
      <c r="D25" s="8" t="n">
        <f aca="false">C25/SUM($C$2:$C$182)</f>
        <v>0.0094172340731903</v>
      </c>
      <c r="E25" s="8" t="n">
        <f aca="false">E24+D25</f>
        <v>0.808396930862115</v>
      </c>
      <c r="F25" s="7" t="str">
        <f aca="false">IF(E25&lt;=0.7,"A",IF(E25&lt;=0.9,"B","C"))</f>
        <v>B</v>
      </c>
      <c r="G25" s="7" t="n">
        <v>214</v>
      </c>
      <c r="H25" s="7" t="n">
        <v>500</v>
      </c>
    </row>
    <row r="26" customFormat="false" ht="15" hidden="false" customHeight="false" outlineLevel="0" collapsed="false">
      <c r="A26" s="7" t="n">
        <v>25</v>
      </c>
      <c r="B26" s="7" t="s">
        <v>247</v>
      </c>
      <c r="C26" s="7" t="n">
        <v>228.4</v>
      </c>
      <c r="D26" s="8" t="n">
        <f aca="false">C26/SUM($C$2:$C$182)</f>
        <v>0.00939666344393475</v>
      </c>
      <c r="E26" s="8" t="n">
        <f aca="false">E25+D26</f>
        <v>0.81779359430605</v>
      </c>
      <c r="F26" s="7" t="str">
        <f aca="false">IF(E26&lt;=0.7,"A",IF(E26&lt;=0.9,"B","C"))</f>
        <v>B</v>
      </c>
      <c r="G26" s="7" t="n">
        <v>905</v>
      </c>
      <c r="H26" s="7" t="n">
        <v>500</v>
      </c>
    </row>
    <row r="27" customFormat="false" ht="15" hidden="false" customHeight="false" outlineLevel="0" collapsed="false">
      <c r="A27" s="7" t="n">
        <v>26</v>
      </c>
      <c r="B27" s="7" t="s">
        <v>248</v>
      </c>
      <c r="C27" s="7" t="n">
        <v>221.4</v>
      </c>
      <c r="D27" s="8" t="n">
        <f aca="false">C27/SUM($C$2:$C$182)</f>
        <v>0.00910867463435707</v>
      </c>
      <c r="E27" s="8" t="n">
        <f aca="false">E26+D27</f>
        <v>0.826902268940407</v>
      </c>
      <c r="F27" s="7" t="str">
        <f aca="false">IF(E27&lt;=0.7,"A",IF(E27&lt;=0.9,"B","C"))</f>
        <v>B</v>
      </c>
      <c r="G27" s="7" t="n">
        <v>863</v>
      </c>
      <c r="H27" s="7" t="n">
        <v>50</v>
      </c>
    </row>
    <row r="28" customFormat="false" ht="15" hidden="false" customHeight="false" outlineLevel="0" collapsed="false">
      <c r="A28" s="7" t="n">
        <v>27</v>
      </c>
      <c r="B28" s="7" t="s">
        <v>249</v>
      </c>
      <c r="C28" s="7" t="n">
        <v>203.8</v>
      </c>
      <c r="D28" s="8" t="n">
        <f aca="false">C28/SUM($C$2:$C$182)</f>
        <v>0.00838458848456174</v>
      </c>
      <c r="E28" s="8" t="n">
        <f aca="false">E27+D28</f>
        <v>0.835286857424969</v>
      </c>
      <c r="F28" s="7" t="str">
        <f aca="false">IF(E28&lt;=0.7,"A",IF(E28&lt;=0.9,"B","C"))</f>
        <v>B</v>
      </c>
      <c r="G28" s="7" t="n">
        <v>3182</v>
      </c>
      <c r="H28" s="7" t="n">
        <v>700</v>
      </c>
    </row>
    <row r="29" customFormat="false" ht="15" hidden="false" customHeight="false" outlineLevel="0" collapsed="false">
      <c r="A29" s="7" t="n">
        <v>28</v>
      </c>
      <c r="B29" s="7" t="s">
        <v>250</v>
      </c>
      <c r="C29" s="7" t="n">
        <v>203</v>
      </c>
      <c r="D29" s="8" t="n">
        <f aca="false">C29/SUM($C$2:$C$182)</f>
        <v>0.00835167547775286</v>
      </c>
      <c r="E29" s="8" t="n">
        <f aca="false">E28+D29</f>
        <v>0.843638532902722</v>
      </c>
      <c r="F29" s="7" t="str">
        <f aca="false">IF(E29&lt;=0.7,"A",IF(E29&lt;=0.9,"B","C"))</f>
        <v>B</v>
      </c>
      <c r="G29" s="7" t="n">
        <v>23</v>
      </c>
      <c r="H29" s="7" t="n">
        <v>350</v>
      </c>
    </row>
    <row r="30" customFormat="false" ht="15" hidden="false" customHeight="false" outlineLevel="0" collapsed="false">
      <c r="A30" s="7" t="n">
        <v>29</v>
      </c>
      <c r="B30" s="7" t="s">
        <v>251</v>
      </c>
      <c r="C30" s="7" t="n">
        <v>201.6</v>
      </c>
      <c r="D30" s="8" t="n">
        <f aca="false">C30/SUM($C$2:$C$182)</f>
        <v>0.00829407771583733</v>
      </c>
      <c r="E30" s="8" t="n">
        <f aca="false">E29+D30</f>
        <v>0.851932610618559</v>
      </c>
      <c r="F30" s="7" t="str">
        <f aca="false">IF(E30&lt;=0.7,"A",IF(E30&lt;=0.9,"B","C"))</f>
        <v>B</v>
      </c>
      <c r="G30" s="7" t="n">
        <v>278</v>
      </c>
      <c r="H30" s="7" t="n">
        <v>400</v>
      </c>
    </row>
    <row r="31" customFormat="false" ht="15" hidden="false" customHeight="false" outlineLevel="0" collapsed="false">
      <c r="A31" s="7" t="n">
        <v>30</v>
      </c>
      <c r="B31" s="7" t="s">
        <v>252</v>
      </c>
      <c r="C31" s="7" t="n">
        <v>191.4</v>
      </c>
      <c r="D31" s="8" t="n">
        <f aca="false">C31/SUM($C$2:$C$182)</f>
        <v>0.00787443687902413</v>
      </c>
      <c r="E31" s="8" t="n">
        <f aca="false">E30+D31</f>
        <v>0.859807047497583</v>
      </c>
      <c r="F31" s="7" t="str">
        <f aca="false">IF(E31&lt;=0.7,"A",IF(E31&lt;=0.9,"B","C"))</f>
        <v>B</v>
      </c>
      <c r="G31" s="7" t="n">
        <v>296</v>
      </c>
      <c r="H31" s="7" t="n">
        <v>1350</v>
      </c>
    </row>
    <row r="32" customFormat="false" ht="15" hidden="false" customHeight="false" outlineLevel="0" collapsed="false">
      <c r="A32" s="7" t="n">
        <v>31</v>
      </c>
      <c r="B32" s="7" t="s">
        <v>253</v>
      </c>
      <c r="C32" s="7" t="n">
        <v>159.2</v>
      </c>
      <c r="D32" s="8" t="n">
        <f aca="false">C32/SUM($C$2:$C$182)</f>
        <v>0.00654968835496678</v>
      </c>
      <c r="E32" s="8" t="n">
        <f aca="false">E31+D32</f>
        <v>0.86635673585255</v>
      </c>
      <c r="F32" s="7" t="str">
        <f aca="false">IF(E32&lt;=0.7,"A",IF(E32&lt;=0.9,"B","C"))</f>
        <v>B</v>
      </c>
      <c r="G32" s="7" t="n">
        <v>353</v>
      </c>
      <c r="H32" s="7" t="n">
        <v>200</v>
      </c>
    </row>
    <row r="33" customFormat="false" ht="15" hidden="false" customHeight="false" outlineLevel="0" collapsed="false">
      <c r="A33" s="7" t="n">
        <v>32</v>
      </c>
      <c r="B33" s="7" t="s">
        <v>254</v>
      </c>
      <c r="C33" s="7" t="n">
        <v>158.4</v>
      </c>
      <c r="D33" s="8" t="n">
        <f aca="false">C33/SUM($C$2:$C$182)</f>
        <v>0.0065167753481579</v>
      </c>
      <c r="E33" s="8" t="n">
        <f aca="false">E32+D33</f>
        <v>0.872873511200708</v>
      </c>
      <c r="F33" s="7" t="str">
        <f aca="false">IF(E33&lt;=0.7,"A",IF(E33&lt;=0.9,"B","C"))</f>
        <v>B</v>
      </c>
      <c r="G33" s="7" t="n">
        <v>524</v>
      </c>
      <c r="H33" s="7" t="n">
        <v>50</v>
      </c>
    </row>
    <row r="34" customFormat="false" ht="15" hidden="false" customHeight="false" outlineLevel="0" collapsed="false">
      <c r="A34" s="7" t="n">
        <v>33</v>
      </c>
      <c r="B34" s="7" t="s">
        <v>255</v>
      </c>
      <c r="C34" s="7" t="n">
        <v>153.5</v>
      </c>
      <c r="D34" s="8" t="n">
        <f aca="false">C34/SUM($C$2:$C$182)</f>
        <v>0.00631518318145352</v>
      </c>
      <c r="E34" s="8" t="n">
        <f aca="false">E33+D34</f>
        <v>0.879188694382161</v>
      </c>
      <c r="F34" s="7" t="str">
        <f aca="false">IF(E34&lt;=0.7,"A",IF(E34&lt;=0.9,"B","C"))</f>
        <v>B</v>
      </c>
      <c r="G34" s="7" t="n">
        <v>630</v>
      </c>
      <c r="H34" s="7" t="n">
        <v>500</v>
      </c>
    </row>
    <row r="35" customFormat="false" ht="15" hidden="false" customHeight="false" outlineLevel="0" collapsed="false">
      <c r="A35" s="7" t="n">
        <v>34</v>
      </c>
      <c r="B35" s="7" t="s">
        <v>256</v>
      </c>
      <c r="C35" s="7" t="n">
        <v>130.8</v>
      </c>
      <c r="D35" s="8" t="n">
        <f aca="false">C35/SUM($C$2:$C$182)</f>
        <v>0.0053812766132516</v>
      </c>
      <c r="E35" s="8" t="n">
        <f aca="false">E34+D35</f>
        <v>0.884569970995413</v>
      </c>
      <c r="F35" s="7" t="str">
        <f aca="false">IF(E35&lt;=0.7,"A",IF(E35&lt;=0.9,"B","C"))</f>
        <v>B</v>
      </c>
      <c r="G35" s="7" t="n">
        <v>1163</v>
      </c>
      <c r="H35" s="7" t="n">
        <v>500</v>
      </c>
    </row>
    <row r="36" customFormat="false" ht="15" hidden="false" customHeight="false" outlineLevel="0" collapsed="false">
      <c r="A36" s="7" t="n">
        <v>35</v>
      </c>
      <c r="B36" s="7" t="s">
        <v>257</v>
      </c>
      <c r="C36" s="7" t="n">
        <v>102.2</v>
      </c>
      <c r="D36" s="8" t="n">
        <f aca="false">C36/SUM($C$2:$C$182)</f>
        <v>0.0042046366198342</v>
      </c>
      <c r="E36" s="8" t="n">
        <f aca="false">E35+D36</f>
        <v>0.888774607615247</v>
      </c>
      <c r="F36" s="7" t="str">
        <f aca="false">IF(E36&lt;=0.7,"A",IF(E36&lt;=0.9,"B","C"))</f>
        <v>B</v>
      </c>
      <c r="G36" s="7" t="n">
        <v>754</v>
      </c>
      <c r="H36" s="7" t="n">
        <v>220</v>
      </c>
    </row>
    <row r="37" customFormat="false" ht="15" hidden="false" customHeight="false" outlineLevel="0" collapsed="false">
      <c r="A37" s="7" t="n">
        <v>36</v>
      </c>
      <c r="B37" s="7" t="s">
        <v>258</v>
      </c>
      <c r="C37" s="7" t="n">
        <v>101.6</v>
      </c>
      <c r="D37" s="8" t="n">
        <f aca="false">C37/SUM($C$2:$C$182)</f>
        <v>0.00417995186472754</v>
      </c>
      <c r="E37" s="8" t="n">
        <f aca="false">E36+D37</f>
        <v>0.892954559479975</v>
      </c>
      <c r="F37" s="7" t="str">
        <f aca="false">IF(E37&lt;=0.7,"A",IF(E37&lt;=0.9,"B","C"))</f>
        <v>B</v>
      </c>
      <c r="G37" s="7" t="n">
        <v>579</v>
      </c>
      <c r="H37" s="7" t="n">
        <v>300</v>
      </c>
    </row>
    <row r="38" customFormat="false" ht="15" hidden="false" customHeight="false" outlineLevel="0" collapsed="false">
      <c r="A38" s="7" t="n">
        <v>37</v>
      </c>
      <c r="B38" s="7" t="s">
        <v>259</v>
      </c>
      <c r="C38" s="7" t="n">
        <v>94.1</v>
      </c>
      <c r="D38" s="8" t="n">
        <f aca="false">C38/SUM($C$2:$C$182)</f>
        <v>0.00387139242589431</v>
      </c>
      <c r="E38" s="8" t="n">
        <f aca="false">E37+D38</f>
        <v>0.896825951905869</v>
      </c>
      <c r="F38" s="7" t="str">
        <f aca="false">IF(E38&lt;=0.7,"A",IF(E38&lt;=0.9,"B","C"))</f>
        <v>B</v>
      </c>
      <c r="G38" s="7" t="n">
        <v>272</v>
      </c>
      <c r="H38" s="7" t="n">
        <v>150</v>
      </c>
    </row>
    <row r="39" customFormat="false" ht="15" hidden="false" customHeight="false" outlineLevel="0" collapsed="false">
      <c r="A39" s="7" t="n">
        <v>38</v>
      </c>
      <c r="B39" s="7" t="s">
        <v>260</v>
      </c>
      <c r="C39" s="7" t="n">
        <v>88.1</v>
      </c>
      <c r="D39" s="8" t="n">
        <f aca="false">C39/SUM($C$2:$C$182)</f>
        <v>0.00362454487482772</v>
      </c>
      <c r="E39" s="8" t="n">
        <f aca="false">E38+D39</f>
        <v>0.900450496780697</v>
      </c>
      <c r="F39" s="7" t="str">
        <f aca="false">IF(E39&lt;=0.7,"A",IF(E39&lt;=0.9,"B","C"))</f>
        <v>C</v>
      </c>
      <c r="G39" s="7" t="n">
        <v>505</v>
      </c>
      <c r="H39" s="7" t="n">
        <v>150</v>
      </c>
    </row>
    <row r="40" customFormat="false" ht="15" hidden="false" customHeight="false" outlineLevel="0" collapsed="false">
      <c r="A40" s="7" t="n">
        <v>39</v>
      </c>
      <c r="B40" s="7" t="s">
        <v>261</v>
      </c>
      <c r="C40" s="7" t="n">
        <v>80.3</v>
      </c>
      <c r="D40" s="8" t="n">
        <f aca="false">C40/SUM($C$2:$C$182)</f>
        <v>0.00330364305844116</v>
      </c>
      <c r="E40" s="8" t="n">
        <f aca="false">E39+D40</f>
        <v>0.903754139839138</v>
      </c>
      <c r="F40" s="7" t="str">
        <f aca="false">IF(E40&lt;=0.7,"A",IF(E40&lt;=0.9,"B","C"))</f>
        <v>C</v>
      </c>
      <c r="G40" s="7" t="n">
        <v>1086</v>
      </c>
      <c r="H40" s="7" t="n">
        <v>500</v>
      </c>
    </row>
    <row r="41" customFormat="false" ht="15" hidden="false" customHeight="false" outlineLevel="0" collapsed="false">
      <c r="A41" s="7" t="n">
        <v>40</v>
      </c>
      <c r="B41" s="7" t="s">
        <v>262</v>
      </c>
      <c r="C41" s="7" t="n">
        <v>79.2</v>
      </c>
      <c r="D41" s="8" t="n">
        <f aca="false">C41/SUM($C$2:$C$182)</f>
        <v>0.00325838767407895</v>
      </c>
      <c r="E41" s="8" t="n">
        <f aca="false">E40+D41</f>
        <v>0.907012527513217</v>
      </c>
      <c r="F41" s="7" t="str">
        <f aca="false">IF(E41&lt;=0.7,"A",IF(E41&lt;=0.9,"B","C"))</f>
        <v>C</v>
      </c>
      <c r="G41" s="7" t="n">
        <v>18</v>
      </c>
      <c r="H41" s="7" t="n">
        <v>150</v>
      </c>
    </row>
    <row r="42" customFormat="false" ht="15" hidden="false" customHeight="false" outlineLevel="0" collapsed="false">
      <c r="A42" s="7" t="n">
        <v>41</v>
      </c>
      <c r="B42" s="7" t="s">
        <v>263</v>
      </c>
      <c r="C42" s="7" t="n">
        <v>71.6</v>
      </c>
      <c r="D42" s="8" t="n">
        <f aca="false">C42/SUM($C$2:$C$182)</f>
        <v>0.00294571410939461</v>
      </c>
      <c r="E42" s="8" t="n">
        <f aca="false">E41+D42</f>
        <v>0.909958241622611</v>
      </c>
      <c r="F42" s="7" t="str">
        <f aca="false">IF(E42&lt;=0.7,"A",IF(E42&lt;=0.9,"B","C"))</f>
        <v>C</v>
      </c>
      <c r="G42" s="7" t="n">
        <v>658</v>
      </c>
      <c r="H42" s="7" t="n">
        <v>50</v>
      </c>
    </row>
    <row r="43" customFormat="false" ht="15" hidden="false" customHeight="false" outlineLevel="0" collapsed="false">
      <c r="A43" s="7" t="n">
        <v>42</v>
      </c>
      <c r="B43" s="7" t="s">
        <v>264</v>
      </c>
      <c r="C43" s="7" t="n">
        <v>68.9</v>
      </c>
      <c r="D43" s="8" t="n">
        <f aca="false">C43/SUM($C$2:$C$182)</f>
        <v>0.00283463271141464</v>
      </c>
      <c r="E43" s="8" t="n">
        <f aca="false">E42+D43</f>
        <v>0.912792874334026</v>
      </c>
      <c r="F43" s="7" t="str">
        <f aca="false">IF(E43&lt;=0.7,"A",IF(E43&lt;=0.9,"B","C"))</f>
        <v>C</v>
      </c>
      <c r="G43" s="7" t="n">
        <v>1044</v>
      </c>
      <c r="H43" s="7" t="n">
        <v>300</v>
      </c>
    </row>
    <row r="44" customFormat="false" ht="15" hidden="false" customHeight="false" outlineLevel="0" collapsed="false">
      <c r="A44" s="7" t="n">
        <v>43</v>
      </c>
      <c r="B44" s="7" t="s">
        <v>265</v>
      </c>
      <c r="C44" s="7" t="n">
        <v>68.6</v>
      </c>
      <c r="D44" s="8" t="n">
        <f aca="false">C44/SUM($C$2:$C$182)</f>
        <v>0.00282229033386131</v>
      </c>
      <c r="E44" s="8" t="n">
        <f aca="false">E43+D44</f>
        <v>0.915615164667887</v>
      </c>
      <c r="F44" s="7" t="str">
        <f aca="false">IF(E44&lt;=0.7,"A",IF(E44&lt;=0.9,"B","C"))</f>
        <v>C</v>
      </c>
      <c r="G44" s="7" t="n">
        <v>272</v>
      </c>
      <c r="H44" s="7" t="n">
        <v>100</v>
      </c>
    </row>
    <row r="45" customFormat="false" ht="15" hidden="false" customHeight="false" outlineLevel="0" collapsed="false">
      <c r="A45" s="7" t="n">
        <v>44</v>
      </c>
      <c r="B45" s="7" t="s">
        <v>266</v>
      </c>
      <c r="C45" s="7" t="n">
        <v>67</v>
      </c>
      <c r="D45" s="8" t="n">
        <f aca="false">C45/SUM($C$2:$C$182)</f>
        <v>0.00275646432024356</v>
      </c>
      <c r="E45" s="8" t="n">
        <f aca="false">E44+D45</f>
        <v>0.918371628988131</v>
      </c>
      <c r="F45" s="7" t="str">
        <f aca="false">IF(E45&lt;=0.7,"A",IF(E45&lt;=0.9,"B","C"))</f>
        <v>C</v>
      </c>
      <c r="G45" s="7" t="n">
        <v>112</v>
      </c>
      <c r="H45" s="7" t="n">
        <v>100</v>
      </c>
    </row>
    <row r="46" customFormat="false" ht="15" hidden="false" customHeight="false" outlineLevel="0" collapsed="false">
      <c r="A46" s="7" t="n">
        <v>45</v>
      </c>
      <c r="B46" s="7" t="s">
        <v>267</v>
      </c>
      <c r="C46" s="7" t="n">
        <v>65.1</v>
      </c>
      <c r="D46" s="8" t="n">
        <f aca="false">C46/SUM($C$2:$C$182)</f>
        <v>0.00267829592907247</v>
      </c>
      <c r="E46" s="8" t="n">
        <f aca="false">E45+D46</f>
        <v>0.921049924917203</v>
      </c>
      <c r="F46" s="7" t="str">
        <f aca="false">IF(E46&lt;=0.7,"A",IF(E46&lt;=0.9,"B","C"))</f>
        <v>C</v>
      </c>
      <c r="G46" s="7" t="n">
        <v>468</v>
      </c>
      <c r="H46" s="7" t="n">
        <v>50</v>
      </c>
    </row>
    <row r="47" customFormat="false" ht="15" hidden="false" customHeight="false" outlineLevel="0" collapsed="false">
      <c r="A47" s="7" t="n">
        <v>46</v>
      </c>
      <c r="B47" s="7" t="s">
        <v>268</v>
      </c>
      <c r="C47" s="7" t="n">
        <v>63</v>
      </c>
      <c r="D47" s="8" t="n">
        <f aca="false">C47/SUM($C$2:$C$182)</f>
        <v>0.00259189928619917</v>
      </c>
      <c r="E47" s="8" t="n">
        <f aca="false">E46+D47</f>
        <v>0.923641824203402</v>
      </c>
      <c r="F47" s="7" t="str">
        <f aca="false">IF(E47&lt;=0.7,"A",IF(E47&lt;=0.9,"B","C"))</f>
        <v>C</v>
      </c>
      <c r="G47" s="7" t="n">
        <v>27</v>
      </c>
      <c r="H47" s="7" t="n">
        <v>400</v>
      </c>
    </row>
    <row r="48" customFormat="false" ht="15" hidden="false" customHeight="false" outlineLevel="0" collapsed="false">
      <c r="A48" s="7" t="n">
        <v>47</v>
      </c>
      <c r="B48" s="7" t="s">
        <v>269</v>
      </c>
      <c r="C48" s="7" t="n">
        <v>58.4</v>
      </c>
      <c r="D48" s="8" t="n">
        <f aca="false">C48/SUM($C$2:$C$182)</f>
        <v>0.00240264949704811</v>
      </c>
      <c r="E48" s="8" t="n">
        <f aca="false">E47+D48</f>
        <v>0.92604447370045</v>
      </c>
      <c r="F48" s="7" t="str">
        <f aca="false">IF(E48&lt;=0.7,"A",IF(E48&lt;=0.9,"B","C"))</f>
        <v>C</v>
      </c>
      <c r="G48" s="7" t="n">
        <v>150</v>
      </c>
      <c r="H48" s="7" t="n">
        <v>400</v>
      </c>
    </row>
    <row r="49" customFormat="false" ht="15" hidden="false" customHeight="false" outlineLevel="0" collapsed="false">
      <c r="A49" s="7" t="n">
        <v>48</v>
      </c>
      <c r="B49" s="7" t="s">
        <v>270</v>
      </c>
      <c r="C49" s="7" t="n">
        <v>56.2</v>
      </c>
      <c r="D49" s="8" t="n">
        <f aca="false">C49/SUM($C$2:$C$182)</f>
        <v>0.0023121387283237</v>
      </c>
      <c r="E49" s="8" t="n">
        <f aca="false">E48+D49</f>
        <v>0.928356612428774</v>
      </c>
      <c r="F49" s="7" t="str">
        <f aca="false">IF(E49&lt;=0.7,"A",IF(E49&lt;=0.9,"B","C"))</f>
        <v>C</v>
      </c>
      <c r="G49" s="7" t="n">
        <v>204</v>
      </c>
      <c r="H49" s="7" t="n">
        <v>50</v>
      </c>
    </row>
    <row r="50" customFormat="false" ht="15" hidden="false" customHeight="false" outlineLevel="0" collapsed="false">
      <c r="A50" s="7" t="n">
        <v>49</v>
      </c>
      <c r="B50" s="7" t="s">
        <v>271</v>
      </c>
      <c r="C50" s="7" t="n">
        <v>53.5</v>
      </c>
      <c r="D50" s="8" t="n">
        <f aca="false">C50/SUM($C$2:$C$182)</f>
        <v>0.00220105733034374</v>
      </c>
      <c r="E50" s="8" t="n">
        <f aca="false">E49+D50</f>
        <v>0.930557669759118</v>
      </c>
      <c r="F50" s="7" t="str">
        <f aca="false">IF(E50&lt;=0.7,"A",IF(E50&lt;=0.9,"B","C"))</f>
        <v>C</v>
      </c>
      <c r="G50" s="7" t="n">
        <v>150</v>
      </c>
      <c r="H50" s="7" t="n">
        <v>50</v>
      </c>
    </row>
    <row r="51" customFormat="false" ht="15" hidden="false" customHeight="false" outlineLevel="0" collapsed="false">
      <c r="A51" s="7" t="n">
        <v>50</v>
      </c>
      <c r="B51" s="7" t="s">
        <v>272</v>
      </c>
      <c r="C51" s="7" t="n">
        <v>51.9</v>
      </c>
      <c r="D51" s="8" t="n">
        <f aca="false">C51/SUM($C$2:$C$182)</f>
        <v>0.00213523131672598</v>
      </c>
      <c r="E51" s="8" t="n">
        <f aca="false">E50+D51</f>
        <v>0.932692901075844</v>
      </c>
      <c r="F51" s="7" t="str">
        <f aca="false">IF(E51&lt;=0.7,"A",IF(E51&lt;=0.9,"B","C"))</f>
        <v>C</v>
      </c>
      <c r="G51" s="7" t="n">
        <v>58</v>
      </c>
      <c r="H51" s="7" t="n">
        <v>100</v>
      </c>
    </row>
    <row r="52" customFormat="false" ht="15" hidden="false" customHeight="false" outlineLevel="0" collapsed="false">
      <c r="A52" s="7" t="n">
        <v>51</v>
      </c>
      <c r="B52" s="7" t="s">
        <v>273</v>
      </c>
      <c r="C52" s="7" t="n">
        <v>48.9</v>
      </c>
      <c r="D52" s="8" t="n">
        <f aca="false">C52/SUM($C$2:$C$182)</f>
        <v>0.00201180754119269</v>
      </c>
      <c r="E52" s="8" t="n">
        <f aca="false">E51+D52</f>
        <v>0.934704708617037</v>
      </c>
      <c r="F52" s="7" t="str">
        <f aca="false">IF(E52&lt;=0.7,"A",IF(E52&lt;=0.9,"B","C"))</f>
        <v>C</v>
      </c>
      <c r="G52" s="7" t="n">
        <v>356</v>
      </c>
      <c r="H52" s="7" t="n">
        <v>150</v>
      </c>
    </row>
    <row r="53" customFormat="false" ht="15" hidden="false" customHeight="false" outlineLevel="0" collapsed="false">
      <c r="A53" s="7" t="n">
        <v>52</v>
      </c>
      <c r="B53" s="7" t="s">
        <v>274</v>
      </c>
      <c r="C53" s="7" t="n">
        <v>48.1</v>
      </c>
      <c r="D53" s="8" t="n">
        <f aca="false">C53/SUM($C$2:$C$182)</f>
        <v>0.00197889453438381</v>
      </c>
      <c r="E53" s="8" t="n">
        <f aca="false">E52+D53</f>
        <v>0.93668360315142</v>
      </c>
      <c r="F53" s="7" t="str">
        <f aca="false">IF(E53&lt;=0.7,"A",IF(E53&lt;=0.9,"B","C"))</f>
        <v>C</v>
      </c>
      <c r="G53" s="7" t="n">
        <v>1469</v>
      </c>
      <c r="H53" s="7" t="n">
        <v>0</v>
      </c>
    </row>
    <row r="54" customFormat="false" ht="15" hidden="false" customHeight="false" outlineLevel="0" collapsed="false">
      <c r="A54" s="7" t="n">
        <v>53</v>
      </c>
      <c r="B54" s="7" t="s">
        <v>275</v>
      </c>
      <c r="C54" s="7" t="n">
        <v>47.3</v>
      </c>
      <c r="D54" s="8" t="n">
        <f aca="false">C54/SUM($C$2:$C$182)</f>
        <v>0.00194598152757493</v>
      </c>
      <c r="E54" s="8" t="n">
        <f aca="false">E53+D54</f>
        <v>0.938629584678995</v>
      </c>
      <c r="F54" s="7" t="str">
        <f aca="false">IF(E54&lt;=0.7,"A",IF(E54&lt;=0.9,"B","C"))</f>
        <v>C</v>
      </c>
      <c r="G54" s="7" t="n">
        <v>108</v>
      </c>
      <c r="H54" s="7" t="n">
        <v>50</v>
      </c>
    </row>
    <row r="55" customFormat="false" ht="15" hidden="false" customHeight="false" outlineLevel="0" collapsed="false">
      <c r="A55" s="7" t="n">
        <v>54</v>
      </c>
      <c r="B55" s="7" t="s">
        <v>276</v>
      </c>
      <c r="C55" s="7" t="n">
        <v>46.2</v>
      </c>
      <c r="D55" s="8" t="n">
        <f aca="false">C55/SUM($C$2:$C$182)</f>
        <v>0.00190072614321272</v>
      </c>
      <c r="E55" s="8" t="n">
        <f aca="false">E54+D55</f>
        <v>0.940530310822208</v>
      </c>
      <c r="F55" s="7" t="str">
        <f aca="false">IF(E55&lt;=0.7,"A",IF(E55&lt;=0.9,"B","C"))</f>
        <v>C</v>
      </c>
      <c r="G55" s="7" t="n">
        <v>72</v>
      </c>
      <c r="H55" s="7" t="n">
        <v>100</v>
      </c>
    </row>
    <row r="56" customFormat="false" ht="15" hidden="false" customHeight="false" outlineLevel="0" collapsed="false">
      <c r="A56" s="7" t="n">
        <v>55</v>
      </c>
      <c r="B56" s="7" t="s">
        <v>277</v>
      </c>
      <c r="C56" s="7" t="n">
        <v>45.1</v>
      </c>
      <c r="D56" s="8" t="n">
        <f aca="false">C56/SUM($C$2:$C$182)</f>
        <v>0.00185547075885051</v>
      </c>
      <c r="E56" s="8" t="n">
        <f aca="false">E55+D56</f>
        <v>0.942385781581059</v>
      </c>
      <c r="F56" s="7" t="str">
        <f aca="false">IF(E56&lt;=0.7,"A",IF(E56&lt;=0.9,"B","C"))</f>
        <v>C</v>
      </c>
      <c r="G56" s="7" t="n">
        <v>863</v>
      </c>
      <c r="H56" s="7" t="n">
        <v>50</v>
      </c>
    </row>
    <row r="57" customFormat="false" ht="15" hidden="false" customHeight="false" outlineLevel="0" collapsed="false">
      <c r="A57" s="7" t="n">
        <v>56</v>
      </c>
      <c r="B57" s="7" t="s">
        <v>278</v>
      </c>
      <c r="C57" s="7" t="n">
        <v>44.6</v>
      </c>
      <c r="D57" s="8" t="n">
        <f aca="false">C57/SUM($C$2:$C$182)</f>
        <v>0.00183490012959496</v>
      </c>
      <c r="E57" s="8" t="n">
        <f aca="false">E56+D57</f>
        <v>0.944220681710653</v>
      </c>
      <c r="F57" s="7" t="str">
        <f aca="false">IF(E57&lt;=0.7,"A",IF(E57&lt;=0.9,"B","C"))</f>
        <v>C</v>
      </c>
      <c r="G57" s="7" t="n">
        <v>306</v>
      </c>
      <c r="H57" s="7" t="n">
        <v>50</v>
      </c>
    </row>
    <row r="58" customFormat="false" ht="15" hidden="false" customHeight="false" outlineLevel="0" collapsed="false">
      <c r="A58" s="7" t="n">
        <v>57</v>
      </c>
      <c r="B58" s="7" t="s">
        <v>279</v>
      </c>
      <c r="C58" s="7" t="n">
        <v>44.1</v>
      </c>
      <c r="D58" s="8" t="n">
        <f aca="false">C58/SUM($C$2:$C$182)</f>
        <v>0.00181432950033942</v>
      </c>
      <c r="E58" s="8" t="n">
        <f aca="false">E57+D58</f>
        <v>0.946035011210993</v>
      </c>
      <c r="F58" s="7" t="str">
        <f aca="false">IF(E58&lt;=0.7,"A",IF(E58&lt;=0.9,"B","C"))</f>
        <v>C</v>
      </c>
      <c r="G58" s="7" t="n">
        <v>388</v>
      </c>
      <c r="H58" s="7" t="n">
        <v>50</v>
      </c>
    </row>
    <row r="59" customFormat="false" ht="15" hidden="false" customHeight="false" outlineLevel="0" collapsed="false">
      <c r="A59" s="7" t="n">
        <v>58</v>
      </c>
      <c r="B59" s="7" t="s">
        <v>280</v>
      </c>
      <c r="C59" s="7" t="n">
        <v>42.4</v>
      </c>
      <c r="D59" s="8" t="n">
        <f aca="false">C59/SUM($C$2:$C$182)</f>
        <v>0.00174438936087055</v>
      </c>
      <c r="E59" s="8" t="n">
        <f aca="false">E58+D59</f>
        <v>0.947779400571863</v>
      </c>
      <c r="F59" s="7" t="str">
        <f aca="false">IF(E59&lt;=0.7,"A",IF(E59&lt;=0.9,"B","C"))</f>
        <v>C</v>
      </c>
      <c r="G59" s="7" t="n">
        <v>95</v>
      </c>
      <c r="H59" s="7" t="n">
        <v>150</v>
      </c>
    </row>
    <row r="60" customFormat="false" ht="15" hidden="false" customHeight="false" outlineLevel="0" collapsed="false">
      <c r="A60" s="7" t="n">
        <v>59</v>
      </c>
      <c r="B60" s="7" t="s">
        <v>281</v>
      </c>
      <c r="C60" s="7" t="n">
        <v>40.8</v>
      </c>
      <c r="D60" s="8" t="n">
        <f aca="false">C60/SUM($C$2:$C$182)</f>
        <v>0.00167856334725279</v>
      </c>
      <c r="E60" s="8" t="n">
        <f aca="false">E59+D60</f>
        <v>0.949457963919116</v>
      </c>
      <c r="F60" s="7" t="str">
        <f aca="false">IF(E60&lt;=0.7,"A",IF(E60&lt;=0.9,"B","C"))</f>
        <v>C</v>
      </c>
      <c r="G60" s="7" t="n">
        <v>121</v>
      </c>
      <c r="H60" s="7" t="n">
        <v>50</v>
      </c>
    </row>
    <row r="61" customFormat="false" ht="15" hidden="false" customHeight="false" outlineLevel="0" collapsed="false">
      <c r="A61" s="7" t="n">
        <v>60</v>
      </c>
      <c r="B61" s="7" t="s">
        <v>282</v>
      </c>
      <c r="C61" s="7" t="n">
        <v>39.7</v>
      </c>
      <c r="D61" s="8" t="n">
        <f aca="false">C61/SUM($C$2:$C$182)</f>
        <v>0.00163330796289058</v>
      </c>
      <c r="E61" s="8" t="n">
        <f aca="false">E60+D61</f>
        <v>0.951091271882007</v>
      </c>
      <c r="F61" s="7" t="str">
        <f aca="false">IF(E61&lt;=0.7,"A",IF(E61&lt;=0.9,"B","C"))</f>
        <v>C</v>
      </c>
      <c r="G61" s="7" t="n">
        <v>224</v>
      </c>
      <c r="H61" s="7" t="n">
        <v>100</v>
      </c>
    </row>
    <row r="62" customFormat="false" ht="15" hidden="false" customHeight="false" outlineLevel="0" collapsed="false">
      <c r="A62" s="7" t="n">
        <v>61</v>
      </c>
      <c r="B62" s="7" t="s">
        <v>283</v>
      </c>
      <c r="C62" s="7" t="n">
        <v>33.5</v>
      </c>
      <c r="D62" s="8" t="n">
        <f aca="false">C62/SUM($C$2:$C$182)</f>
        <v>0.00137823216012178</v>
      </c>
      <c r="E62" s="8" t="n">
        <f aca="false">E61+D62</f>
        <v>0.952469504042129</v>
      </c>
      <c r="F62" s="7" t="str">
        <f aca="false">IF(E62&lt;=0.7,"A",IF(E62&lt;=0.9,"B","C"))</f>
        <v>C</v>
      </c>
      <c r="G62" s="7" t="n">
        <v>56</v>
      </c>
      <c r="H62" s="7" t="n">
        <v>50</v>
      </c>
    </row>
    <row r="63" customFormat="false" ht="15" hidden="false" customHeight="false" outlineLevel="0" collapsed="false">
      <c r="A63" s="7" t="n">
        <v>62</v>
      </c>
      <c r="B63" s="7" t="s">
        <v>284</v>
      </c>
      <c r="C63" s="7" t="n">
        <v>32.4</v>
      </c>
      <c r="D63" s="8" t="n">
        <f aca="false">C63/SUM($C$2:$C$182)</f>
        <v>0.00133297677575957</v>
      </c>
      <c r="E63" s="8" t="n">
        <f aca="false">E62+D63</f>
        <v>0.953802480817888</v>
      </c>
      <c r="F63" s="7" t="str">
        <f aca="false">IF(E63&lt;=0.7,"A",IF(E63&lt;=0.9,"B","C"))</f>
        <v>C</v>
      </c>
      <c r="G63" s="7" t="n">
        <v>23</v>
      </c>
      <c r="H63" s="7" t="n">
        <v>100</v>
      </c>
    </row>
    <row r="64" customFormat="false" ht="15" hidden="false" customHeight="false" outlineLevel="0" collapsed="false">
      <c r="A64" s="7" t="n">
        <v>63</v>
      </c>
      <c r="B64" s="7" t="s">
        <v>285</v>
      </c>
      <c r="C64" s="7" t="n">
        <v>32.2</v>
      </c>
      <c r="D64" s="8" t="n">
        <f aca="false">C64/SUM($C$2:$C$182)</f>
        <v>0.00132474852405735</v>
      </c>
      <c r="E64" s="8" t="n">
        <f aca="false">E63+D64</f>
        <v>0.955127229341946</v>
      </c>
      <c r="F64" s="7" t="str">
        <f aca="false">IF(E64&lt;=0.7,"A",IF(E64&lt;=0.9,"B","C"))</f>
        <v>C</v>
      </c>
      <c r="G64" s="7" t="n">
        <v>87</v>
      </c>
      <c r="H64" s="7" t="n">
        <v>150</v>
      </c>
    </row>
    <row r="65" customFormat="false" ht="15" hidden="false" customHeight="false" outlineLevel="0" collapsed="false">
      <c r="A65" s="7" t="n">
        <v>64</v>
      </c>
      <c r="B65" s="7" t="s">
        <v>286</v>
      </c>
      <c r="C65" s="7" t="n">
        <v>32.2</v>
      </c>
      <c r="D65" s="8" t="n">
        <f aca="false">C65/SUM($C$2:$C$182)</f>
        <v>0.00132474852405735</v>
      </c>
      <c r="E65" s="8" t="n">
        <f aca="false">E64+D65</f>
        <v>0.956451977866003</v>
      </c>
      <c r="F65" s="7" t="str">
        <f aca="false">IF(E65&lt;=0.7,"A",IF(E65&lt;=0.9,"B","C"))</f>
        <v>C</v>
      </c>
      <c r="G65" s="7" t="n">
        <v>872</v>
      </c>
      <c r="H65" s="7" t="n">
        <v>200</v>
      </c>
    </row>
    <row r="66" customFormat="false" ht="15" hidden="false" customHeight="false" outlineLevel="0" collapsed="false">
      <c r="A66" s="7" t="n">
        <v>65</v>
      </c>
      <c r="B66" s="7" t="s">
        <v>287</v>
      </c>
      <c r="C66" s="7" t="n">
        <v>31.4</v>
      </c>
      <c r="D66" s="8" t="n">
        <f aca="false">C66/SUM($C$2:$C$182)</f>
        <v>0.00129183551724847</v>
      </c>
      <c r="E66" s="8" t="n">
        <f aca="false">E65+D66</f>
        <v>0.957743813383251</v>
      </c>
      <c r="F66" s="7" t="str">
        <f aca="false">IF(E66&lt;=0.7,"A",IF(E66&lt;=0.9,"B","C"))</f>
        <v>C</v>
      </c>
      <c r="G66" s="7" t="n">
        <v>199</v>
      </c>
      <c r="H66" s="7" t="n">
        <v>200</v>
      </c>
    </row>
    <row r="67" customFormat="false" ht="15" hidden="false" customHeight="false" outlineLevel="0" collapsed="false">
      <c r="A67" s="7" t="n">
        <v>66</v>
      </c>
      <c r="B67" s="7" t="s">
        <v>288</v>
      </c>
      <c r="C67" s="7" t="n">
        <v>31.1</v>
      </c>
      <c r="D67" s="8" t="n">
        <f aca="false">C67/SUM($C$2:$C$182)</f>
        <v>0.00127949313969514</v>
      </c>
      <c r="E67" s="8" t="n">
        <f aca="false">E66+D67</f>
        <v>0.959023306522947</v>
      </c>
      <c r="F67" s="7" t="str">
        <f aca="false">IF(E67&lt;=0.7,"A",IF(E67&lt;=0.9,"B","C"))</f>
        <v>C</v>
      </c>
      <c r="G67" s="7" t="n">
        <v>406</v>
      </c>
      <c r="H67" s="7" t="n">
        <v>50</v>
      </c>
    </row>
    <row r="68" customFormat="false" ht="15" hidden="false" customHeight="false" outlineLevel="0" collapsed="false">
      <c r="A68" s="7" t="n">
        <v>67</v>
      </c>
      <c r="B68" s="7" t="s">
        <v>289</v>
      </c>
      <c r="C68" s="7" t="n">
        <v>31.1</v>
      </c>
      <c r="D68" s="8" t="n">
        <f aca="false">C68/SUM($C$2:$C$182)</f>
        <v>0.00127949313969514</v>
      </c>
      <c r="E68" s="8" t="n">
        <f aca="false">E67+D68</f>
        <v>0.960302799662642</v>
      </c>
      <c r="F68" s="7" t="str">
        <f aca="false">IF(E68&lt;=0.7,"A",IF(E68&lt;=0.9,"B","C"))</f>
        <v>C</v>
      </c>
      <c r="G68" s="7" t="n">
        <v>1470</v>
      </c>
      <c r="H68" s="7" t="n">
        <v>600</v>
      </c>
    </row>
    <row r="69" customFormat="false" ht="15" hidden="false" customHeight="false" outlineLevel="0" collapsed="false">
      <c r="A69" s="7" t="n">
        <v>68</v>
      </c>
      <c r="B69" s="7" t="s">
        <v>290</v>
      </c>
      <c r="C69" s="7" t="n">
        <v>30.8</v>
      </c>
      <c r="D69" s="8" t="n">
        <f aca="false">C69/SUM($C$2:$C$182)</f>
        <v>0.00126715076214181</v>
      </c>
      <c r="E69" s="8" t="n">
        <f aca="false">E68+D69</f>
        <v>0.961569950424783</v>
      </c>
      <c r="F69" s="7" t="str">
        <f aca="false">IF(E69&lt;=0.7,"A",IF(E69&lt;=0.9,"B","C"))</f>
        <v>C</v>
      </c>
      <c r="G69" s="7" t="n">
        <v>165</v>
      </c>
      <c r="H69" s="7" t="n">
        <v>50</v>
      </c>
    </row>
    <row r="70" customFormat="false" ht="15" hidden="false" customHeight="false" outlineLevel="0" collapsed="false">
      <c r="A70" s="7" t="n">
        <v>69</v>
      </c>
      <c r="B70" s="7" t="s">
        <v>291</v>
      </c>
      <c r="C70" s="7" t="n">
        <v>28.4</v>
      </c>
      <c r="D70" s="8" t="n">
        <f aca="false">C70/SUM($C$2:$C$182)</f>
        <v>0.00116841174171518</v>
      </c>
      <c r="E70" s="8" t="n">
        <f aca="false">E69+D70</f>
        <v>0.962738362166499</v>
      </c>
      <c r="F70" s="7" t="str">
        <f aca="false">IF(E70&lt;=0.7,"A",IF(E70&lt;=0.9,"B","C"))</f>
        <v>C</v>
      </c>
      <c r="G70" s="7" t="n">
        <v>1</v>
      </c>
      <c r="H70" s="7" t="n">
        <v>100</v>
      </c>
    </row>
    <row r="71" customFormat="false" ht="15" hidden="false" customHeight="false" outlineLevel="0" collapsed="false">
      <c r="A71" s="7" t="n">
        <v>70</v>
      </c>
      <c r="B71" s="7" t="s">
        <v>292</v>
      </c>
      <c r="C71" s="7" t="n">
        <v>28.4</v>
      </c>
      <c r="D71" s="8" t="n">
        <f aca="false">C71/SUM($C$2:$C$182)</f>
        <v>0.00116841174171518</v>
      </c>
      <c r="E71" s="8" t="n">
        <f aca="false">E70+D71</f>
        <v>0.963906773908214</v>
      </c>
      <c r="F71" s="7" t="str">
        <f aca="false">IF(E71&lt;=0.7,"A",IF(E71&lt;=0.9,"B","C"))</f>
        <v>C</v>
      </c>
      <c r="G71" s="7" t="n">
        <v>11</v>
      </c>
      <c r="H71" s="7" t="n">
        <v>100</v>
      </c>
    </row>
    <row r="72" customFormat="false" ht="15" hidden="false" customHeight="false" outlineLevel="0" collapsed="false">
      <c r="A72" s="7" t="n">
        <v>71</v>
      </c>
      <c r="B72" s="7" t="s">
        <v>293</v>
      </c>
      <c r="C72" s="7" t="n">
        <v>28.1</v>
      </c>
      <c r="D72" s="8" t="n">
        <f aca="false">C72/SUM($C$2:$C$182)</f>
        <v>0.00115606936416185</v>
      </c>
      <c r="E72" s="8" t="n">
        <f aca="false">E71+D72</f>
        <v>0.965062843272376</v>
      </c>
      <c r="F72" s="7" t="str">
        <f aca="false">IF(E72&lt;=0.7,"A",IF(E72&lt;=0.9,"B","C"))</f>
        <v>C</v>
      </c>
      <c r="G72" s="7" t="n">
        <v>112</v>
      </c>
      <c r="H72" s="7" t="n">
        <v>50</v>
      </c>
    </row>
    <row r="73" customFormat="false" ht="15" hidden="false" customHeight="false" outlineLevel="0" collapsed="false">
      <c r="A73" s="7" t="n">
        <v>72</v>
      </c>
      <c r="B73" s="7" t="s">
        <v>294</v>
      </c>
      <c r="C73" s="7" t="n">
        <v>26.2</v>
      </c>
      <c r="D73" s="8" t="n">
        <f aca="false">C73/SUM($C$2:$C$182)</f>
        <v>0.00107790097299076</v>
      </c>
      <c r="E73" s="8" t="n">
        <f aca="false">E72+D73</f>
        <v>0.966140744245367</v>
      </c>
      <c r="F73" s="7" t="str">
        <f aca="false">IF(E73&lt;=0.7,"A",IF(E73&lt;=0.9,"B","C"))</f>
        <v>C</v>
      </c>
      <c r="G73" s="7" t="n">
        <v>355</v>
      </c>
      <c r="H73" s="7" t="n">
        <v>50</v>
      </c>
    </row>
    <row r="74" customFormat="false" ht="15" hidden="false" customHeight="false" outlineLevel="0" collapsed="false">
      <c r="A74" s="7" t="n">
        <v>73</v>
      </c>
      <c r="B74" s="7" t="s">
        <v>295</v>
      </c>
      <c r="C74" s="7" t="n">
        <v>24.3</v>
      </c>
      <c r="D74" s="8" t="n">
        <f aca="false">C74/SUM($C$2:$C$182)</f>
        <v>0.000999732581819678</v>
      </c>
      <c r="E74" s="8" t="n">
        <f aca="false">E73+D74</f>
        <v>0.967140476827186</v>
      </c>
      <c r="F74" s="7" t="str">
        <f aca="false">IF(E74&lt;=0.7,"A",IF(E74&lt;=0.9,"B","C"))</f>
        <v>C</v>
      </c>
      <c r="G74" s="7" t="n">
        <v>386</v>
      </c>
      <c r="H74" s="7" t="n">
        <v>200</v>
      </c>
    </row>
    <row r="75" customFormat="false" ht="15" hidden="false" customHeight="false" outlineLevel="0" collapsed="false">
      <c r="A75" s="7" t="n">
        <v>74</v>
      </c>
      <c r="B75" s="7" t="s">
        <v>296</v>
      </c>
      <c r="C75" s="7" t="n">
        <v>23.8</v>
      </c>
      <c r="D75" s="8" t="n">
        <f aca="false">C75/SUM($C$2:$C$182)</f>
        <v>0.000979161952564129</v>
      </c>
      <c r="E75" s="8" t="n">
        <f aca="false">E74+D75</f>
        <v>0.96811963877975</v>
      </c>
      <c r="F75" s="7" t="str">
        <f aca="false">IF(E75&lt;=0.7,"A",IF(E75&lt;=0.9,"B","C"))</f>
        <v>C</v>
      </c>
      <c r="G75" s="7" t="n">
        <v>118</v>
      </c>
      <c r="H75" s="7" t="n">
        <v>50</v>
      </c>
    </row>
    <row r="76" customFormat="false" ht="15" hidden="false" customHeight="false" outlineLevel="0" collapsed="false">
      <c r="A76" s="7" t="n">
        <v>75</v>
      </c>
      <c r="B76" s="7" t="s">
        <v>297</v>
      </c>
      <c r="C76" s="7" t="n">
        <v>23.5</v>
      </c>
      <c r="D76" s="8" t="n">
        <f aca="false">C76/SUM($C$2:$C$182)</f>
        <v>0.0009668195750108</v>
      </c>
      <c r="E76" s="8" t="n">
        <f aca="false">E75+D76</f>
        <v>0.969086458354761</v>
      </c>
      <c r="F76" s="7" t="str">
        <f aca="false">IF(E76&lt;=0.7,"A",IF(E76&lt;=0.9,"B","C"))</f>
        <v>C</v>
      </c>
      <c r="G76" s="7" t="n">
        <v>155</v>
      </c>
      <c r="H76" s="7" t="n">
        <v>50</v>
      </c>
    </row>
    <row r="77" customFormat="false" ht="15" hidden="false" customHeight="false" outlineLevel="0" collapsed="false">
      <c r="A77" s="7" t="n">
        <v>76</v>
      </c>
      <c r="B77" s="7" t="s">
        <v>298</v>
      </c>
      <c r="C77" s="7" t="n">
        <v>21.6</v>
      </c>
      <c r="D77" s="8" t="n">
        <f aca="false">C77/SUM($C$2:$C$182)</f>
        <v>0.000888651183839714</v>
      </c>
      <c r="E77" s="8" t="n">
        <f aca="false">E76+D77</f>
        <v>0.969975109538601</v>
      </c>
      <c r="F77" s="7" t="str">
        <f aca="false">IF(E77&lt;=0.7,"A",IF(E77&lt;=0.9,"B","C"))</f>
        <v>C</v>
      </c>
      <c r="G77" s="7" t="n">
        <v>239</v>
      </c>
      <c r="H77" s="7" t="n">
        <v>50</v>
      </c>
    </row>
    <row r="78" customFormat="false" ht="15" hidden="false" customHeight="false" outlineLevel="0" collapsed="false">
      <c r="A78" s="7" t="n">
        <v>77</v>
      </c>
      <c r="B78" s="7" t="s">
        <v>299</v>
      </c>
      <c r="C78" s="7" t="n">
        <v>21.4</v>
      </c>
      <c r="D78" s="8" t="n">
        <f aca="false">C78/SUM($C$2:$C$182)</f>
        <v>0.000880422932137494</v>
      </c>
      <c r="E78" s="8" t="n">
        <f aca="false">E77+D78</f>
        <v>0.970855532470738</v>
      </c>
      <c r="F78" s="7" t="str">
        <f aca="false">IF(E78&lt;=0.7,"A",IF(E78&lt;=0.9,"B","C"))</f>
        <v>C</v>
      </c>
      <c r="G78" s="7" t="n">
        <v>7</v>
      </c>
      <c r="H78" s="7" t="n">
        <v>150</v>
      </c>
    </row>
    <row r="79" customFormat="false" ht="15" hidden="false" customHeight="false" outlineLevel="0" collapsed="false">
      <c r="A79" s="7" t="n">
        <v>78</v>
      </c>
      <c r="B79" s="7" t="s">
        <v>300</v>
      </c>
      <c r="C79" s="7" t="n">
        <v>21.1</v>
      </c>
      <c r="D79" s="8" t="n">
        <f aca="false">C79/SUM($C$2:$C$182)</f>
        <v>0.000868080554584165</v>
      </c>
      <c r="E79" s="8" t="n">
        <f aca="false">E78+D79</f>
        <v>0.971723613025323</v>
      </c>
      <c r="F79" s="7" t="str">
        <f aca="false">IF(E79&lt;=0.7,"A",IF(E79&lt;=0.9,"B","C"))</f>
        <v>C</v>
      </c>
      <c r="G79" s="7" t="n">
        <v>411</v>
      </c>
      <c r="H79" s="7" t="n">
        <v>200</v>
      </c>
    </row>
    <row r="80" customFormat="false" ht="15" hidden="false" customHeight="false" outlineLevel="0" collapsed="false">
      <c r="A80" s="7" t="n">
        <v>79</v>
      </c>
      <c r="B80" s="7" t="s">
        <v>301</v>
      </c>
      <c r="C80" s="7" t="n">
        <v>20.8</v>
      </c>
      <c r="D80" s="8" t="n">
        <f aca="false">C80/SUM($C$2:$C$182)</f>
        <v>0.000855738177030835</v>
      </c>
      <c r="E80" s="8" t="n">
        <f aca="false">E79+D80</f>
        <v>0.972579351202353</v>
      </c>
      <c r="F80" s="7" t="str">
        <f aca="false">IF(E80&lt;=0.7,"A",IF(E80&lt;=0.9,"B","C"))</f>
        <v>C</v>
      </c>
      <c r="G80" s="7" t="n">
        <v>24</v>
      </c>
      <c r="H80" s="7" t="n">
        <v>50</v>
      </c>
    </row>
    <row r="81" customFormat="false" ht="15" hidden="false" customHeight="false" outlineLevel="0" collapsed="false">
      <c r="A81" s="7" t="n">
        <v>80</v>
      </c>
      <c r="B81" s="7" t="s">
        <v>302</v>
      </c>
      <c r="C81" s="7" t="n">
        <v>20.8</v>
      </c>
      <c r="D81" s="8" t="n">
        <f aca="false">C81/SUM($C$2:$C$182)</f>
        <v>0.000855738177030835</v>
      </c>
      <c r="E81" s="8" t="n">
        <f aca="false">E80+D81</f>
        <v>0.973435089379384</v>
      </c>
      <c r="F81" s="7" t="str">
        <f aca="false">IF(E81&lt;=0.7,"A",IF(E81&lt;=0.9,"B","C"))</f>
        <v>C</v>
      </c>
      <c r="G81" s="7" t="n">
        <v>273</v>
      </c>
      <c r="H81" s="7" t="n">
        <v>50</v>
      </c>
    </row>
    <row r="82" customFormat="false" ht="15" hidden="false" customHeight="false" outlineLevel="0" collapsed="false">
      <c r="A82" s="7" t="n">
        <v>81</v>
      </c>
      <c r="B82" s="7" t="s">
        <v>303</v>
      </c>
      <c r="C82" s="7" t="n">
        <v>20.5</v>
      </c>
      <c r="D82" s="8" t="n">
        <f aca="false">C82/SUM($C$2:$C$182)</f>
        <v>0.000843395799477506</v>
      </c>
      <c r="E82" s="8" t="n">
        <f aca="false">E81+D82</f>
        <v>0.974278485178862</v>
      </c>
      <c r="F82" s="7" t="str">
        <f aca="false">IF(E82&lt;=0.7,"A",IF(E82&lt;=0.9,"B","C"))</f>
        <v>C</v>
      </c>
      <c r="G82" s="7" t="n">
        <v>857</v>
      </c>
      <c r="H82" s="7" t="n">
        <v>300</v>
      </c>
    </row>
    <row r="83" customFormat="false" ht="15" hidden="false" customHeight="false" outlineLevel="0" collapsed="false">
      <c r="A83" s="7" t="n">
        <v>82</v>
      </c>
      <c r="B83" s="7" t="s">
        <v>304</v>
      </c>
      <c r="C83" s="7" t="n">
        <v>20.5</v>
      </c>
      <c r="D83" s="8" t="n">
        <f aca="false">C83/SUM($C$2:$C$182)</f>
        <v>0.000843395799477506</v>
      </c>
      <c r="E83" s="8" t="n">
        <f aca="false">E82+D83</f>
        <v>0.975121880978339</v>
      </c>
      <c r="F83" s="7" t="str">
        <f aca="false">IF(E83&lt;=0.7,"A",IF(E83&lt;=0.9,"B","C"))</f>
        <v>C</v>
      </c>
      <c r="G83" s="7" t="n">
        <v>15</v>
      </c>
      <c r="H83" s="7" t="n">
        <v>50</v>
      </c>
    </row>
    <row r="84" customFormat="false" ht="15" hidden="false" customHeight="false" outlineLevel="0" collapsed="false">
      <c r="A84" s="7" t="n">
        <v>83</v>
      </c>
      <c r="B84" s="7" t="s">
        <v>305</v>
      </c>
      <c r="C84" s="7" t="n">
        <v>20.3</v>
      </c>
      <c r="D84" s="8" t="n">
        <f aca="false">C84/SUM($C$2:$C$182)</f>
        <v>0.000835167547775286</v>
      </c>
      <c r="E84" s="8" t="n">
        <f aca="false">E83+D84</f>
        <v>0.975957048526114</v>
      </c>
      <c r="F84" s="7" t="str">
        <f aca="false">IF(E84&lt;=0.7,"A",IF(E84&lt;=0.9,"B","C"))</f>
        <v>C</v>
      </c>
      <c r="G84" s="7" t="n">
        <v>366</v>
      </c>
      <c r="H84" s="7" t="n">
        <v>100</v>
      </c>
    </row>
    <row r="85" customFormat="false" ht="15" hidden="false" customHeight="false" outlineLevel="0" collapsed="false">
      <c r="A85" s="7" t="n">
        <v>84</v>
      </c>
      <c r="B85" s="7" t="s">
        <v>306</v>
      </c>
      <c r="C85" s="7" t="n">
        <v>19.7</v>
      </c>
      <c r="D85" s="8" t="n">
        <f aca="false">C85/SUM($C$2:$C$182)</f>
        <v>0.000810482792668628</v>
      </c>
      <c r="E85" s="8" t="n">
        <f aca="false">E84+D85</f>
        <v>0.976767531318783</v>
      </c>
      <c r="F85" s="7" t="str">
        <f aca="false">IF(E85&lt;=0.7,"A",IF(E85&lt;=0.9,"B","C"))</f>
        <v>C</v>
      </c>
      <c r="G85" s="7" t="n">
        <v>757</v>
      </c>
      <c r="H85" s="7" t="n">
        <v>50</v>
      </c>
    </row>
    <row r="86" customFormat="false" ht="15" hidden="false" customHeight="false" outlineLevel="0" collapsed="false">
      <c r="A86" s="7" t="n">
        <v>85</v>
      </c>
      <c r="B86" s="7" t="s">
        <v>307</v>
      </c>
      <c r="C86" s="7" t="n">
        <v>19.7</v>
      </c>
      <c r="D86" s="8" t="n">
        <f aca="false">C86/SUM($C$2:$C$182)</f>
        <v>0.000810482792668628</v>
      </c>
      <c r="E86" s="8" t="n">
        <f aca="false">E85+D86</f>
        <v>0.977578014111452</v>
      </c>
      <c r="F86" s="7" t="str">
        <f aca="false">IF(E86&lt;=0.7,"A",IF(E86&lt;=0.9,"B","C"))</f>
        <v>C</v>
      </c>
      <c r="G86" s="7" t="n">
        <v>36</v>
      </c>
      <c r="H86" s="7" t="n">
        <v>50</v>
      </c>
    </row>
    <row r="87" customFormat="false" ht="15" hidden="false" customHeight="false" outlineLevel="0" collapsed="false">
      <c r="A87" s="7" t="n">
        <v>86</v>
      </c>
      <c r="B87" s="7" t="s">
        <v>308</v>
      </c>
      <c r="C87" s="7" t="n">
        <v>19.5</v>
      </c>
      <c r="D87" s="8" t="n">
        <f aca="false">C87/SUM($C$2:$C$182)</f>
        <v>0.000802254540966408</v>
      </c>
      <c r="E87" s="8" t="n">
        <f aca="false">E86+D87</f>
        <v>0.978380268652418</v>
      </c>
      <c r="F87" s="7" t="str">
        <f aca="false">IF(E87&lt;=0.7,"A",IF(E87&lt;=0.9,"B","C"))</f>
        <v>C</v>
      </c>
      <c r="G87" s="7" t="n">
        <v>459</v>
      </c>
      <c r="H87" s="7" t="n">
        <v>0</v>
      </c>
    </row>
    <row r="88" customFormat="false" ht="15" hidden="false" customHeight="false" outlineLevel="0" collapsed="false">
      <c r="A88" s="7" t="n">
        <v>87</v>
      </c>
      <c r="B88" s="7" t="s">
        <v>309</v>
      </c>
      <c r="C88" s="7" t="n">
        <v>18.1</v>
      </c>
      <c r="D88" s="8" t="n">
        <f aca="false">C88/SUM($C$2:$C$182)</f>
        <v>0.000744656779050871</v>
      </c>
      <c r="E88" s="8" t="n">
        <f aca="false">E87+D88</f>
        <v>0.979124925431469</v>
      </c>
      <c r="F88" s="7" t="str">
        <f aca="false">IF(E88&lt;=0.7,"A",IF(E88&lt;=0.9,"B","C"))</f>
        <v>C</v>
      </c>
      <c r="G88" s="7" t="n">
        <v>507</v>
      </c>
      <c r="H88" s="7" t="n">
        <v>50</v>
      </c>
    </row>
    <row r="89" customFormat="false" ht="15" hidden="false" customHeight="false" outlineLevel="0" collapsed="false">
      <c r="A89" s="7" t="n">
        <v>88</v>
      </c>
      <c r="B89" s="7" t="s">
        <v>310</v>
      </c>
      <c r="C89" s="7" t="n">
        <v>17.3</v>
      </c>
      <c r="D89" s="8" t="n">
        <f aca="false">C89/SUM($C$2:$C$182)</f>
        <v>0.000711743772241993</v>
      </c>
      <c r="E89" s="8" t="n">
        <f aca="false">E88+D89</f>
        <v>0.979836669203711</v>
      </c>
      <c r="F89" s="7" t="str">
        <f aca="false">IF(E89&lt;=0.7,"A",IF(E89&lt;=0.9,"B","C"))</f>
        <v>C</v>
      </c>
      <c r="G89" s="7" t="n">
        <v>510</v>
      </c>
      <c r="H89" s="7" t="n">
        <v>50</v>
      </c>
    </row>
    <row r="90" customFormat="false" ht="15" hidden="false" customHeight="false" outlineLevel="0" collapsed="false">
      <c r="A90" s="7" t="n">
        <v>89</v>
      </c>
      <c r="B90" s="7" t="s">
        <v>311</v>
      </c>
      <c r="C90" s="7" t="n">
        <v>17.3</v>
      </c>
      <c r="D90" s="8" t="n">
        <f aca="false">C90/SUM($C$2:$C$182)</f>
        <v>0.000711743772241993</v>
      </c>
      <c r="E90" s="8" t="n">
        <f aca="false">E89+D90</f>
        <v>0.980548412975953</v>
      </c>
      <c r="F90" s="7" t="str">
        <f aca="false">IF(E90&lt;=0.7,"A",IF(E90&lt;=0.9,"B","C"))</f>
        <v>C</v>
      </c>
      <c r="G90" s="7" t="n">
        <v>29</v>
      </c>
      <c r="H90" s="7" t="n">
        <v>100</v>
      </c>
    </row>
    <row r="91" customFormat="false" ht="15" hidden="false" customHeight="false" outlineLevel="0" collapsed="false">
      <c r="A91" s="7" t="n">
        <v>90</v>
      </c>
      <c r="B91" s="7" t="s">
        <v>312</v>
      </c>
      <c r="C91" s="7" t="n">
        <v>16.2</v>
      </c>
      <c r="D91" s="8" t="n">
        <f aca="false">C91/SUM($C$2:$C$182)</f>
        <v>0.000666488387879785</v>
      </c>
      <c r="E91" s="8" t="n">
        <f aca="false">E90+D91</f>
        <v>0.981214901363833</v>
      </c>
      <c r="F91" s="7" t="str">
        <f aca="false">IF(E91&lt;=0.7,"A",IF(E91&lt;=0.9,"B","C"))</f>
        <v>C</v>
      </c>
      <c r="G91" s="7" t="n">
        <v>32</v>
      </c>
      <c r="H91" s="7" t="n">
        <v>50</v>
      </c>
    </row>
    <row r="92" customFormat="false" ht="15" hidden="false" customHeight="false" outlineLevel="0" collapsed="false">
      <c r="A92" s="7" t="n">
        <v>91</v>
      </c>
      <c r="B92" s="7" t="s">
        <v>313</v>
      </c>
      <c r="C92" s="7" t="n">
        <v>16.2</v>
      </c>
      <c r="D92" s="8" t="n">
        <f aca="false">C92/SUM($C$2:$C$182)</f>
        <v>0.000666488387879785</v>
      </c>
      <c r="E92" s="8" t="n">
        <f aca="false">E91+D92</f>
        <v>0.981881389751713</v>
      </c>
      <c r="F92" s="7" t="str">
        <f aca="false">IF(E92&lt;=0.7,"A",IF(E92&lt;=0.9,"B","C"))</f>
        <v>C</v>
      </c>
      <c r="G92" s="7" t="n">
        <v>50</v>
      </c>
      <c r="H92" s="7" t="n">
        <v>50</v>
      </c>
    </row>
    <row r="93" customFormat="false" ht="15" hidden="false" customHeight="false" outlineLevel="0" collapsed="false">
      <c r="A93" s="7" t="n">
        <v>92</v>
      </c>
      <c r="B93" s="7" t="s">
        <v>314</v>
      </c>
      <c r="C93" s="7" t="n">
        <v>15.7</v>
      </c>
      <c r="D93" s="8" t="n">
        <f aca="false">C93/SUM($C$2:$C$182)</f>
        <v>0.000645917758624236</v>
      </c>
      <c r="E93" s="8" t="n">
        <f aca="false">E92+D93</f>
        <v>0.982527307510337</v>
      </c>
      <c r="F93" s="7" t="str">
        <f aca="false">IF(E93&lt;=0.7,"A",IF(E93&lt;=0.9,"B","C"))</f>
        <v>C</v>
      </c>
      <c r="G93" s="7" t="n">
        <v>21</v>
      </c>
      <c r="H93" s="7" t="n">
        <v>400</v>
      </c>
    </row>
    <row r="94" customFormat="false" ht="15" hidden="false" customHeight="false" outlineLevel="0" collapsed="false">
      <c r="A94" s="7" t="n">
        <v>93</v>
      </c>
      <c r="B94" s="7" t="s">
        <v>315</v>
      </c>
      <c r="C94" s="7" t="n">
        <v>15.4</v>
      </c>
      <c r="D94" s="8" t="n">
        <f aca="false">C94/SUM($C$2:$C$182)</f>
        <v>0.000633575381070907</v>
      </c>
      <c r="E94" s="8" t="n">
        <f aca="false">E93+D94</f>
        <v>0.983160882891408</v>
      </c>
      <c r="F94" s="7" t="str">
        <f aca="false">IF(E94&lt;=0.7,"A",IF(E94&lt;=0.9,"B","C"))</f>
        <v>C</v>
      </c>
      <c r="G94" s="7" t="n">
        <v>283</v>
      </c>
      <c r="H94" s="7" t="n">
        <v>50</v>
      </c>
    </row>
    <row r="95" customFormat="false" ht="15" hidden="false" customHeight="false" outlineLevel="0" collapsed="false">
      <c r="A95" s="7" t="n">
        <v>94</v>
      </c>
      <c r="B95" s="7" t="s">
        <v>316</v>
      </c>
      <c r="C95" s="7" t="n">
        <v>14.1</v>
      </c>
      <c r="D95" s="8" t="n">
        <f aca="false">C95/SUM($C$2:$C$182)</f>
        <v>0.00058009174500648</v>
      </c>
      <c r="E95" s="8" t="n">
        <f aca="false">E94+D95</f>
        <v>0.983740974636414</v>
      </c>
      <c r="F95" s="7" t="str">
        <f aca="false">IF(E95&lt;=0.7,"A",IF(E95&lt;=0.9,"B","C"))</f>
        <v>C</v>
      </c>
      <c r="G95" s="7" t="n">
        <v>363</v>
      </c>
      <c r="H95" s="7" t="n">
        <v>50</v>
      </c>
    </row>
    <row r="96" customFormat="false" ht="15" hidden="false" customHeight="false" outlineLevel="0" collapsed="false">
      <c r="A96" s="7" t="n">
        <v>95</v>
      </c>
      <c r="B96" s="7" t="s">
        <v>317</v>
      </c>
      <c r="C96" s="7" t="n">
        <v>13.8</v>
      </c>
      <c r="D96" s="8" t="n">
        <f aca="false">C96/SUM($C$2:$C$182)</f>
        <v>0.000567749367453151</v>
      </c>
      <c r="E96" s="8" t="n">
        <f aca="false">E95+D96</f>
        <v>0.984308724003867</v>
      </c>
      <c r="F96" s="7" t="str">
        <f aca="false">IF(E96&lt;=0.7,"A",IF(E96&lt;=0.9,"B","C"))</f>
        <v>C</v>
      </c>
      <c r="G96" s="7" t="n">
        <v>348</v>
      </c>
      <c r="H96" s="7" t="n">
        <v>0</v>
      </c>
    </row>
    <row r="97" customFormat="false" ht="15" hidden="false" customHeight="false" outlineLevel="0" collapsed="false">
      <c r="A97" s="7" t="n">
        <v>96</v>
      </c>
      <c r="B97" s="7" t="s">
        <v>318</v>
      </c>
      <c r="C97" s="7" t="n">
        <v>13.5</v>
      </c>
      <c r="D97" s="8" t="n">
        <f aca="false">C97/SUM($C$2:$C$182)</f>
        <v>0.000555406989899821</v>
      </c>
      <c r="E97" s="8" t="n">
        <f aca="false">E96+D97</f>
        <v>0.984864130993767</v>
      </c>
      <c r="F97" s="7" t="str">
        <f aca="false">IF(E97&lt;=0.7,"A",IF(E97&lt;=0.9,"B","C"))</f>
        <v>C</v>
      </c>
      <c r="G97" s="7" t="n">
        <v>139</v>
      </c>
      <c r="H97" s="7" t="n">
        <v>100</v>
      </c>
    </row>
    <row r="98" customFormat="false" ht="15" hidden="false" customHeight="false" outlineLevel="0" collapsed="false">
      <c r="A98" s="7" t="n">
        <v>97</v>
      </c>
      <c r="B98" s="7" t="s">
        <v>319</v>
      </c>
      <c r="C98" s="7" t="n">
        <v>12.2</v>
      </c>
      <c r="D98" s="8" t="n">
        <f aca="false">C98/SUM($C$2:$C$182)</f>
        <v>0.000501923353835394</v>
      </c>
      <c r="E98" s="8" t="n">
        <f aca="false">E97+D98</f>
        <v>0.985366054347603</v>
      </c>
      <c r="F98" s="7" t="str">
        <f aca="false">IF(E98&lt;=0.7,"A",IF(E98&lt;=0.9,"B","C"))</f>
        <v>C</v>
      </c>
      <c r="G98" s="7" t="n">
        <v>24</v>
      </c>
      <c r="H98" s="7" t="n">
        <v>50</v>
      </c>
    </row>
    <row r="99" customFormat="false" ht="15" hidden="false" customHeight="false" outlineLevel="0" collapsed="false">
      <c r="A99" s="7" t="n">
        <v>98</v>
      </c>
      <c r="B99" s="7" t="s">
        <v>320</v>
      </c>
      <c r="C99" s="7" t="n">
        <v>11.6</v>
      </c>
      <c r="D99" s="8" t="n">
        <f aca="false">C99/SUM($C$2:$C$182)</f>
        <v>0.000477238598728735</v>
      </c>
      <c r="E99" s="8" t="n">
        <f aca="false">E98+D99</f>
        <v>0.985843292946331</v>
      </c>
      <c r="F99" s="7" t="str">
        <f aca="false">IF(E99&lt;=0.7,"A",IF(E99&lt;=0.9,"B","C"))</f>
        <v>C</v>
      </c>
      <c r="G99" s="7" t="n">
        <v>318</v>
      </c>
      <c r="H99" s="7" t="n">
        <v>200</v>
      </c>
    </row>
    <row r="100" customFormat="false" ht="15" hidden="false" customHeight="false" outlineLevel="0" collapsed="false">
      <c r="A100" s="7" t="n">
        <v>99</v>
      </c>
      <c r="B100" s="7" t="s">
        <v>321</v>
      </c>
      <c r="C100" s="7" t="n">
        <v>11.6</v>
      </c>
      <c r="D100" s="8" t="n">
        <f aca="false">C100/SUM($C$2:$C$182)</f>
        <v>0.000477238598728735</v>
      </c>
      <c r="E100" s="8" t="n">
        <f aca="false">E99+D100</f>
        <v>0.98632053154506</v>
      </c>
      <c r="F100" s="7" t="str">
        <f aca="false">IF(E100&lt;=0.7,"A",IF(E100&lt;=0.9,"B","C"))</f>
        <v>C</v>
      </c>
      <c r="G100" s="7" t="n">
        <v>19</v>
      </c>
      <c r="H100" s="7" t="n">
        <v>50</v>
      </c>
    </row>
    <row r="101" customFormat="false" ht="15" hidden="false" customHeight="false" outlineLevel="0" collapsed="false">
      <c r="A101" s="7" t="n">
        <v>100</v>
      </c>
      <c r="B101" s="7" t="s">
        <v>322</v>
      </c>
      <c r="C101" s="7" t="n">
        <v>11.4</v>
      </c>
      <c r="D101" s="8" t="n">
        <f aca="false">C101/SUM($C$2:$C$182)</f>
        <v>0.000469010347026516</v>
      </c>
      <c r="E101" s="8" t="n">
        <f aca="false">E100+D101</f>
        <v>0.986789541892087</v>
      </c>
      <c r="F101" s="7" t="str">
        <f aca="false">IF(E101&lt;=0.7,"A",IF(E101&lt;=0.9,"B","C"))</f>
        <v>C</v>
      </c>
      <c r="G101" s="7" t="n">
        <v>162</v>
      </c>
      <c r="H101" s="7" t="n">
        <v>0</v>
      </c>
    </row>
    <row r="102" customFormat="false" ht="15" hidden="false" customHeight="false" outlineLevel="0" collapsed="false">
      <c r="A102" s="7" t="n">
        <v>101</v>
      </c>
      <c r="B102" s="7" t="s">
        <v>323</v>
      </c>
      <c r="C102" s="7" t="n">
        <v>11.4</v>
      </c>
      <c r="D102" s="8" t="n">
        <f aca="false">C102/SUM($C$2:$C$182)</f>
        <v>0.000469010347026516</v>
      </c>
      <c r="E102" s="8" t="n">
        <f aca="false">E101+D102</f>
        <v>0.987258552239113</v>
      </c>
      <c r="F102" s="7" t="str">
        <f aca="false">IF(E102&lt;=0.7,"A",IF(E102&lt;=0.9,"B","C"))</f>
        <v>C</v>
      </c>
      <c r="G102" s="7" t="n">
        <v>586</v>
      </c>
      <c r="H102" s="7" t="n">
        <v>50</v>
      </c>
    </row>
    <row r="103" customFormat="false" ht="15" hidden="false" customHeight="false" outlineLevel="0" collapsed="false">
      <c r="A103" s="7" t="n">
        <v>102</v>
      </c>
      <c r="B103" s="7" t="s">
        <v>324</v>
      </c>
      <c r="C103" s="7" t="n">
        <v>11.4</v>
      </c>
      <c r="D103" s="8" t="n">
        <f aca="false">C103/SUM($C$2:$C$182)</f>
        <v>0.000469010347026516</v>
      </c>
      <c r="E103" s="8" t="n">
        <f aca="false">E102+D103</f>
        <v>0.98772756258614</v>
      </c>
      <c r="F103" s="7" t="str">
        <f aca="false">IF(E103&lt;=0.7,"A",IF(E103&lt;=0.9,"B","C"))</f>
        <v>C</v>
      </c>
      <c r="G103" s="7" t="n">
        <v>56</v>
      </c>
      <c r="H103" s="7" t="n">
        <v>100</v>
      </c>
    </row>
    <row r="104" customFormat="false" ht="15" hidden="false" customHeight="false" outlineLevel="0" collapsed="false">
      <c r="A104" s="7" t="n">
        <v>103</v>
      </c>
      <c r="B104" s="7" t="s">
        <v>325</v>
      </c>
      <c r="C104" s="7" t="n">
        <v>11.1</v>
      </c>
      <c r="D104" s="8" t="n">
        <f aca="false">C104/SUM($C$2:$C$182)</f>
        <v>0.000456667969473186</v>
      </c>
      <c r="E104" s="8" t="n">
        <f aca="false">E103+D104</f>
        <v>0.988184230555613</v>
      </c>
      <c r="F104" s="7" t="str">
        <f aca="false">IF(E104&lt;=0.7,"A",IF(E104&lt;=0.9,"B","C"))</f>
        <v>C</v>
      </c>
      <c r="G104" s="7" t="n">
        <v>1</v>
      </c>
      <c r="H104" s="7" t="n">
        <v>100</v>
      </c>
    </row>
    <row r="105" customFormat="false" ht="15" hidden="false" customHeight="false" outlineLevel="0" collapsed="false">
      <c r="A105" s="7" t="n">
        <v>104</v>
      </c>
      <c r="B105" s="7" t="s">
        <v>326</v>
      </c>
      <c r="C105" s="7" t="n">
        <v>11.1</v>
      </c>
      <c r="D105" s="8" t="n">
        <f aca="false">C105/SUM($C$2:$C$182)</f>
        <v>0.000456667969473186</v>
      </c>
      <c r="E105" s="8" t="n">
        <f aca="false">E104+D105</f>
        <v>0.988640898525086</v>
      </c>
      <c r="F105" s="7" t="str">
        <f aca="false">IF(E105&lt;=0.7,"A",IF(E105&lt;=0.9,"B","C"))</f>
        <v>C</v>
      </c>
      <c r="G105" s="7" t="n">
        <v>12</v>
      </c>
      <c r="H105" s="7" t="n">
        <v>200</v>
      </c>
    </row>
    <row r="106" customFormat="false" ht="15" hidden="false" customHeight="false" outlineLevel="0" collapsed="false">
      <c r="A106" s="7" t="n">
        <v>105</v>
      </c>
      <c r="B106" s="7" t="s">
        <v>327</v>
      </c>
      <c r="C106" s="7" t="n">
        <v>10.8</v>
      </c>
      <c r="D106" s="8" t="n">
        <f aca="false">C106/SUM($C$2:$C$182)</f>
        <v>0.000444325591919857</v>
      </c>
      <c r="E106" s="8" t="n">
        <f aca="false">E105+D106</f>
        <v>0.989085224117006</v>
      </c>
      <c r="F106" s="7" t="str">
        <f aca="false">IF(E106&lt;=0.7,"A",IF(E106&lt;=0.9,"B","C"))</f>
        <v>C</v>
      </c>
      <c r="G106" s="7" t="n">
        <v>41</v>
      </c>
      <c r="H106" s="7" t="n">
        <v>50</v>
      </c>
    </row>
    <row r="107" customFormat="false" ht="15" hidden="false" customHeight="false" outlineLevel="0" collapsed="false">
      <c r="A107" s="7" t="n">
        <v>106</v>
      </c>
      <c r="B107" s="7" t="s">
        <v>328</v>
      </c>
      <c r="C107" s="7" t="n">
        <v>10.8</v>
      </c>
      <c r="D107" s="8" t="n">
        <f aca="false">C107/SUM($C$2:$C$182)</f>
        <v>0.000444325591919857</v>
      </c>
      <c r="E107" s="8" t="n">
        <f aca="false">E106+D107</f>
        <v>0.989529549708926</v>
      </c>
      <c r="F107" s="7" t="str">
        <f aca="false">IF(E107&lt;=0.7,"A",IF(E107&lt;=0.9,"B","C"))</f>
        <v>C</v>
      </c>
      <c r="G107" s="7" t="n">
        <v>9</v>
      </c>
      <c r="H107" s="7" t="n">
        <v>100</v>
      </c>
    </row>
    <row r="108" customFormat="false" ht="15" hidden="false" customHeight="false" outlineLevel="0" collapsed="false">
      <c r="A108" s="7" t="n">
        <v>107</v>
      </c>
      <c r="B108" s="7" t="s">
        <v>329</v>
      </c>
      <c r="C108" s="7" t="n">
        <v>10.5</v>
      </c>
      <c r="D108" s="8" t="n">
        <f aca="false">C108/SUM($C$2:$C$182)</f>
        <v>0.000431983214366527</v>
      </c>
      <c r="E108" s="8" t="n">
        <f aca="false">E107+D108</f>
        <v>0.989961532923292</v>
      </c>
      <c r="F108" s="7" t="str">
        <f aca="false">IF(E108&lt;=0.7,"A",IF(E108&lt;=0.9,"B","C"))</f>
        <v>C</v>
      </c>
      <c r="G108" s="7" t="n">
        <v>13</v>
      </c>
      <c r="H108" s="7" t="n">
        <v>50</v>
      </c>
    </row>
    <row r="109" customFormat="false" ht="15" hidden="false" customHeight="false" outlineLevel="0" collapsed="false">
      <c r="A109" s="7" t="n">
        <v>108</v>
      </c>
      <c r="B109" s="7" t="s">
        <v>330</v>
      </c>
      <c r="C109" s="7" t="n">
        <v>9.7</v>
      </c>
      <c r="D109" s="8" t="n">
        <f aca="false">C109/SUM($C$2:$C$182)</f>
        <v>0.000399070207557649</v>
      </c>
      <c r="E109" s="8" t="n">
        <f aca="false">E108+D109</f>
        <v>0.99036060313085</v>
      </c>
      <c r="F109" s="7" t="str">
        <f aca="false">IF(E109&lt;=0.7,"A",IF(E109&lt;=0.9,"B","C"))</f>
        <v>C</v>
      </c>
      <c r="G109" s="7" t="n">
        <v>26</v>
      </c>
      <c r="H109" s="7" t="n">
        <v>50</v>
      </c>
    </row>
    <row r="110" customFormat="false" ht="15" hidden="false" customHeight="false" outlineLevel="0" collapsed="false">
      <c r="A110" s="7" t="n">
        <v>109</v>
      </c>
      <c r="B110" s="7" t="s">
        <v>331</v>
      </c>
      <c r="C110" s="7" t="n">
        <v>9.5</v>
      </c>
      <c r="D110" s="8" t="n">
        <f aca="false">C110/SUM($C$2:$C$182)</f>
        <v>0.00039084195585543</v>
      </c>
      <c r="E110" s="8" t="n">
        <f aca="false">E109+D110</f>
        <v>0.990751445086705</v>
      </c>
      <c r="F110" s="7" t="str">
        <f aca="false">IF(E110&lt;=0.7,"A",IF(E110&lt;=0.9,"B","C"))</f>
        <v>C</v>
      </c>
      <c r="G110" s="7" t="n">
        <v>213</v>
      </c>
      <c r="H110" s="7" t="n">
        <v>50</v>
      </c>
    </row>
    <row r="111" customFormat="false" ht="15" hidden="false" customHeight="false" outlineLevel="0" collapsed="false">
      <c r="A111" s="7" t="n">
        <v>110</v>
      </c>
      <c r="B111" s="7" t="s">
        <v>332</v>
      </c>
      <c r="C111" s="7" t="n">
        <v>9.2</v>
      </c>
      <c r="D111" s="8" t="n">
        <f aca="false">C111/SUM($C$2:$C$182)</f>
        <v>0.0003784995783021</v>
      </c>
      <c r="E111" s="8" t="n">
        <f aca="false">E110+D111</f>
        <v>0.991129944665007</v>
      </c>
      <c r="F111" s="7" t="str">
        <f aca="false">IF(E111&lt;=0.7,"A",IF(E111&lt;=0.9,"B","C"))</f>
        <v>C</v>
      </c>
      <c r="G111" s="7" t="n">
        <v>39</v>
      </c>
      <c r="H111" s="7" t="n">
        <v>50</v>
      </c>
    </row>
    <row r="112" customFormat="false" ht="15" hidden="false" customHeight="false" outlineLevel="0" collapsed="false">
      <c r="A112" s="7" t="n">
        <v>111</v>
      </c>
      <c r="B112" s="7" t="s">
        <v>333</v>
      </c>
      <c r="C112" s="7" t="n">
        <v>8.9</v>
      </c>
      <c r="D112" s="8" t="n">
        <f aca="false">C112/SUM($C$2:$C$182)</f>
        <v>0.000366157200748771</v>
      </c>
      <c r="E112" s="8" t="n">
        <f aca="false">E111+D112</f>
        <v>0.991496101865756</v>
      </c>
      <c r="F112" s="7" t="str">
        <f aca="false">IF(E112&lt;=0.7,"A",IF(E112&lt;=0.9,"B","C"))</f>
        <v>C</v>
      </c>
      <c r="G112" s="7" t="n">
        <v>37</v>
      </c>
      <c r="H112" s="7" t="n">
        <v>0</v>
      </c>
    </row>
    <row r="113" customFormat="false" ht="15" hidden="false" customHeight="false" outlineLevel="0" collapsed="false">
      <c r="A113" s="7" t="n">
        <v>112</v>
      </c>
      <c r="B113" s="7" t="s">
        <v>334</v>
      </c>
      <c r="C113" s="7" t="n">
        <v>8.9</v>
      </c>
      <c r="D113" s="8" t="n">
        <f aca="false">C113/SUM($C$2:$C$182)</f>
        <v>0.000366157200748771</v>
      </c>
      <c r="E113" s="8" t="n">
        <f aca="false">E112+D113</f>
        <v>0.991862259066505</v>
      </c>
      <c r="F113" s="7" t="str">
        <f aca="false">IF(E113&lt;=0.7,"A",IF(E113&lt;=0.9,"B","C"))</f>
        <v>C</v>
      </c>
      <c r="G113" s="7" t="n">
        <v>193</v>
      </c>
      <c r="H113" s="7" t="n">
        <v>50</v>
      </c>
    </row>
    <row r="114" customFormat="false" ht="15" hidden="false" customHeight="false" outlineLevel="0" collapsed="false">
      <c r="A114" s="7" t="n">
        <v>113</v>
      </c>
      <c r="B114" s="7" t="s">
        <v>335</v>
      </c>
      <c r="C114" s="7" t="n">
        <v>8.6</v>
      </c>
      <c r="D114" s="8" t="n">
        <f aca="false">C114/SUM($C$2:$C$182)</f>
        <v>0.000353814823195442</v>
      </c>
      <c r="E114" s="8" t="n">
        <f aca="false">E113+D114</f>
        <v>0.9922160738897</v>
      </c>
      <c r="F114" s="7" t="str">
        <f aca="false">IF(E114&lt;=0.7,"A",IF(E114&lt;=0.9,"B","C"))</f>
        <v>C</v>
      </c>
      <c r="G114" s="7" t="n">
        <v>129</v>
      </c>
      <c r="H114" s="7" t="n">
        <v>50</v>
      </c>
    </row>
    <row r="115" customFormat="false" ht="15" hidden="false" customHeight="false" outlineLevel="0" collapsed="false">
      <c r="A115" s="7" t="n">
        <v>114</v>
      </c>
      <c r="B115" s="7" t="s">
        <v>336</v>
      </c>
      <c r="C115" s="7" t="n">
        <v>8.4</v>
      </c>
      <c r="D115" s="8" t="n">
        <f aca="false">C115/SUM($C$2:$C$182)</f>
        <v>0.000345586571493222</v>
      </c>
      <c r="E115" s="8" t="n">
        <f aca="false">E114+D115</f>
        <v>0.992561660461193</v>
      </c>
      <c r="F115" s="7" t="str">
        <f aca="false">IF(E115&lt;=0.7,"A",IF(E115&lt;=0.9,"B","C"))</f>
        <v>C</v>
      </c>
      <c r="G115" s="7" t="n">
        <v>24</v>
      </c>
      <c r="H115" s="7" t="n">
        <v>0</v>
      </c>
    </row>
    <row r="116" customFormat="false" ht="15" hidden="false" customHeight="false" outlineLevel="0" collapsed="false">
      <c r="A116" s="7" t="n">
        <v>115</v>
      </c>
      <c r="B116" s="7" t="s">
        <v>337</v>
      </c>
      <c r="C116" s="7" t="n">
        <v>8.4</v>
      </c>
      <c r="D116" s="8" t="n">
        <f aca="false">C116/SUM($C$2:$C$182)</f>
        <v>0.000345586571493222</v>
      </c>
      <c r="E116" s="8" t="n">
        <f aca="false">E115+D116</f>
        <v>0.992907247032687</v>
      </c>
      <c r="F116" s="7" t="str">
        <f aca="false">IF(E116&lt;=0.7,"A",IF(E116&lt;=0.9,"B","C"))</f>
        <v>C</v>
      </c>
      <c r="G116" s="7" t="n">
        <v>39</v>
      </c>
      <c r="H116" s="7" t="n">
        <v>50</v>
      </c>
    </row>
    <row r="117" customFormat="false" ht="15" hidden="false" customHeight="false" outlineLevel="0" collapsed="false">
      <c r="A117" s="7" t="n">
        <v>116</v>
      </c>
      <c r="B117" s="7" t="s">
        <v>338</v>
      </c>
      <c r="C117" s="7" t="n">
        <v>7.3</v>
      </c>
      <c r="D117" s="8" t="n">
        <f aca="false">C117/SUM($C$2:$C$182)</f>
        <v>0.000300331187131014</v>
      </c>
      <c r="E117" s="8" t="n">
        <f aca="false">E116+D117</f>
        <v>0.993207578219818</v>
      </c>
      <c r="F117" s="7" t="str">
        <f aca="false">IF(E117&lt;=0.7,"A",IF(E117&lt;=0.9,"B","C"))</f>
        <v>C</v>
      </c>
      <c r="G117" s="7" t="n">
        <v>13</v>
      </c>
      <c r="H117" s="7" t="n">
        <v>50</v>
      </c>
    </row>
    <row r="118" customFormat="false" ht="15" hidden="false" customHeight="false" outlineLevel="0" collapsed="false">
      <c r="A118" s="7" t="n">
        <v>117</v>
      </c>
      <c r="B118" s="7" t="s">
        <v>339</v>
      </c>
      <c r="C118" s="7" t="n">
        <v>7.3</v>
      </c>
      <c r="D118" s="8" t="n">
        <f aca="false">C118/SUM($C$2:$C$182)</f>
        <v>0.000300331187131014</v>
      </c>
      <c r="E118" s="8" t="n">
        <f aca="false">E117+D118</f>
        <v>0.993507909406949</v>
      </c>
      <c r="F118" s="7" t="str">
        <f aca="false">IF(E118&lt;=0.7,"A",IF(E118&lt;=0.9,"B","C"))</f>
        <v>C</v>
      </c>
      <c r="G118" s="7" t="n">
        <v>15</v>
      </c>
      <c r="H118" s="7" t="n">
        <v>30</v>
      </c>
    </row>
    <row r="119" customFormat="false" ht="15" hidden="false" customHeight="false" outlineLevel="0" collapsed="false">
      <c r="A119" s="7" t="n">
        <v>118</v>
      </c>
      <c r="B119" s="7" t="s">
        <v>340</v>
      </c>
      <c r="C119" s="7" t="n">
        <v>7.3</v>
      </c>
      <c r="D119" s="8" t="n">
        <f aca="false">C119/SUM($C$2:$C$182)</f>
        <v>0.000300331187131014</v>
      </c>
      <c r="E119" s="8" t="n">
        <f aca="false">E118+D119</f>
        <v>0.99380824059408</v>
      </c>
      <c r="F119" s="7" t="str">
        <f aca="false">IF(E119&lt;=0.7,"A",IF(E119&lt;=0.9,"B","C"))</f>
        <v>C</v>
      </c>
      <c r="G119" s="7" t="n">
        <v>25</v>
      </c>
      <c r="H119" s="7" t="n">
        <v>0</v>
      </c>
    </row>
    <row r="120" customFormat="false" ht="15" hidden="false" customHeight="false" outlineLevel="0" collapsed="false">
      <c r="A120" s="7" t="n">
        <v>119</v>
      </c>
      <c r="B120" s="7" t="s">
        <v>341</v>
      </c>
      <c r="C120" s="7" t="n">
        <v>7</v>
      </c>
      <c r="D120" s="8" t="n">
        <f aca="false">C120/SUM($C$2:$C$182)</f>
        <v>0.000287988809577685</v>
      </c>
      <c r="E120" s="8" t="n">
        <f aca="false">E119+D120</f>
        <v>0.994096229403657</v>
      </c>
      <c r="F120" s="7" t="str">
        <f aca="false">IF(E120&lt;=0.7,"A",IF(E120&lt;=0.9,"B","C"))</f>
        <v>C</v>
      </c>
      <c r="G120" s="7" t="n">
        <v>70</v>
      </c>
      <c r="H120" s="7" t="n">
        <v>50</v>
      </c>
    </row>
    <row r="121" customFormat="false" ht="15" hidden="false" customHeight="false" outlineLevel="0" collapsed="false">
      <c r="A121" s="7" t="n">
        <v>120</v>
      </c>
      <c r="B121" s="7" t="s">
        <v>342</v>
      </c>
      <c r="C121" s="7" t="n">
        <v>7</v>
      </c>
      <c r="D121" s="8" t="n">
        <f aca="false">C121/SUM($C$2:$C$182)</f>
        <v>0.000287988809577685</v>
      </c>
      <c r="E121" s="8" t="n">
        <f aca="false">E120+D121</f>
        <v>0.994384218213235</v>
      </c>
      <c r="F121" s="7" t="str">
        <f aca="false">IF(E121&lt;=0.7,"A",IF(E121&lt;=0.9,"B","C"))</f>
        <v>C</v>
      </c>
      <c r="G121" s="7" t="n">
        <v>112</v>
      </c>
      <c r="H121" s="7" t="n">
        <v>200</v>
      </c>
    </row>
    <row r="122" customFormat="false" ht="15" hidden="false" customHeight="false" outlineLevel="0" collapsed="false">
      <c r="A122" s="7" t="n">
        <v>121</v>
      </c>
      <c r="B122" s="7" t="s">
        <v>343</v>
      </c>
      <c r="C122" s="7" t="n">
        <v>6.5</v>
      </c>
      <c r="D122" s="8" t="n">
        <f aca="false">C122/SUM($C$2:$C$182)</f>
        <v>0.000267418180322136</v>
      </c>
      <c r="E122" s="8" t="n">
        <f aca="false">E121+D122</f>
        <v>0.994651636393557</v>
      </c>
      <c r="F122" s="7" t="str">
        <f aca="false">IF(E122&lt;=0.7,"A",IF(E122&lt;=0.9,"B","C"))</f>
        <v>C</v>
      </c>
      <c r="G122" s="7" t="n">
        <v>53</v>
      </c>
      <c r="H122" s="7" t="n">
        <v>50</v>
      </c>
    </row>
    <row r="123" customFormat="false" ht="15" hidden="false" customHeight="false" outlineLevel="0" collapsed="false">
      <c r="A123" s="7" t="n">
        <v>122</v>
      </c>
      <c r="B123" s="7" t="s">
        <v>344</v>
      </c>
      <c r="C123" s="7" t="n">
        <v>6.2</v>
      </c>
      <c r="D123" s="8" t="n">
        <f aca="false">C123/SUM($C$2:$C$182)</f>
        <v>0.000255075802768807</v>
      </c>
      <c r="E123" s="8" t="n">
        <f aca="false">E122+D123</f>
        <v>0.994906712196326</v>
      </c>
      <c r="F123" s="7" t="str">
        <f aca="false">IF(E123&lt;=0.7,"A",IF(E123&lt;=0.9,"B","C"))</f>
        <v>C</v>
      </c>
      <c r="G123" s="7" t="n">
        <v>167</v>
      </c>
      <c r="H123" s="7" t="n">
        <v>0</v>
      </c>
    </row>
    <row r="124" customFormat="false" ht="15" hidden="false" customHeight="false" outlineLevel="0" collapsed="false">
      <c r="A124" s="7" t="n">
        <v>123</v>
      </c>
      <c r="B124" s="7" t="s">
        <v>345</v>
      </c>
      <c r="C124" s="7" t="n">
        <v>5.7</v>
      </c>
      <c r="D124" s="8" t="n">
        <f aca="false">C124/SUM($C$2:$C$182)</f>
        <v>0.000234505173513258</v>
      </c>
      <c r="E124" s="8" t="n">
        <f aca="false">E123+D124</f>
        <v>0.995141217369839</v>
      </c>
      <c r="F124" s="7" t="str">
        <f aca="false">IF(E124&lt;=0.7,"A",IF(E124&lt;=0.9,"B","C"))</f>
        <v>C</v>
      </c>
      <c r="G124" s="7" t="n">
        <v>17</v>
      </c>
      <c r="H124" s="7" t="n">
        <v>50</v>
      </c>
    </row>
    <row r="125" customFormat="false" ht="15" hidden="false" customHeight="false" outlineLevel="0" collapsed="false">
      <c r="A125" s="7" t="n">
        <v>124</v>
      </c>
      <c r="B125" s="7" t="s">
        <v>346</v>
      </c>
      <c r="C125" s="7" t="n">
        <v>5.7</v>
      </c>
      <c r="D125" s="8" t="n">
        <f aca="false">C125/SUM($C$2:$C$182)</f>
        <v>0.000234505173513258</v>
      </c>
      <c r="E125" s="8" t="n">
        <f aca="false">E124+D125</f>
        <v>0.995375722543353</v>
      </c>
      <c r="F125" s="7" t="str">
        <f aca="false">IF(E125&lt;=0.7,"A",IF(E125&lt;=0.9,"B","C"))</f>
        <v>C</v>
      </c>
      <c r="G125" s="7" t="n">
        <v>31</v>
      </c>
      <c r="H125" s="7" t="n">
        <v>50</v>
      </c>
    </row>
    <row r="126" customFormat="false" ht="15" hidden="false" customHeight="false" outlineLevel="0" collapsed="false">
      <c r="A126" s="7" t="n">
        <v>125</v>
      </c>
      <c r="B126" s="7" t="s">
        <v>347</v>
      </c>
      <c r="C126" s="7" t="n">
        <v>5.4</v>
      </c>
      <c r="D126" s="8" t="n">
        <f aca="false">C126/SUM($C$2:$C$182)</f>
        <v>0.000222162795959928</v>
      </c>
      <c r="E126" s="8" t="n">
        <f aca="false">E125+D126</f>
        <v>0.995597885339313</v>
      </c>
      <c r="F126" s="7" t="str">
        <f aca="false">IF(E126&lt;=0.7,"A",IF(E126&lt;=0.9,"B","C"))</f>
        <v>C</v>
      </c>
      <c r="G126" s="7" t="n">
        <v>120</v>
      </c>
      <c r="H126" s="7" t="n">
        <v>50</v>
      </c>
    </row>
    <row r="127" customFormat="false" ht="15" hidden="false" customHeight="false" outlineLevel="0" collapsed="false">
      <c r="A127" s="7" t="n">
        <v>126</v>
      </c>
      <c r="B127" s="7" t="s">
        <v>348</v>
      </c>
      <c r="C127" s="7" t="n">
        <v>5.1</v>
      </c>
      <c r="D127" s="8" t="n">
        <f aca="false">C127/SUM($C$2:$C$182)</f>
        <v>0.000209820418406599</v>
      </c>
      <c r="E127" s="8" t="n">
        <f aca="false">E126+D127</f>
        <v>0.995807705757719</v>
      </c>
      <c r="F127" s="7" t="str">
        <f aca="false">IF(E127&lt;=0.7,"A",IF(E127&lt;=0.9,"B","C"))</f>
        <v>C</v>
      </c>
      <c r="G127" s="7" t="n">
        <v>37</v>
      </c>
      <c r="H127" s="7" t="n">
        <v>50</v>
      </c>
    </row>
    <row r="128" customFormat="false" ht="15" hidden="false" customHeight="false" outlineLevel="0" collapsed="false">
      <c r="A128" s="7" t="n">
        <v>127</v>
      </c>
      <c r="B128" s="7" t="s">
        <v>349</v>
      </c>
      <c r="C128" s="7" t="n">
        <v>4.9</v>
      </c>
      <c r="D128" s="8" t="n">
        <f aca="false">C128/SUM($C$2:$C$182)</f>
        <v>0.00020159216670438</v>
      </c>
      <c r="E128" s="8" t="n">
        <f aca="false">E127+D128</f>
        <v>0.996009297924424</v>
      </c>
      <c r="F128" s="7" t="str">
        <f aca="false">IF(E128&lt;=0.7,"A",IF(E128&lt;=0.9,"B","C"))</f>
        <v>C</v>
      </c>
      <c r="G128" s="7" t="n">
        <v>151</v>
      </c>
      <c r="H128" s="7" t="n">
        <v>50</v>
      </c>
    </row>
    <row r="129" customFormat="false" ht="15" hidden="false" customHeight="false" outlineLevel="0" collapsed="false">
      <c r="A129" s="7" t="n">
        <v>128</v>
      </c>
      <c r="B129" s="7" t="s">
        <v>350</v>
      </c>
      <c r="C129" s="7" t="n">
        <v>4.6</v>
      </c>
      <c r="D129" s="8" t="n">
        <f aca="false">C129/SUM($C$2:$C$182)</f>
        <v>0.00018924978915105</v>
      </c>
      <c r="E129" s="8" t="n">
        <f aca="false">E128+D129</f>
        <v>0.996198547713575</v>
      </c>
      <c r="F129" s="7" t="str">
        <f aca="false">IF(E129&lt;=0.7,"A",IF(E129&lt;=0.9,"B","C"))</f>
        <v>C</v>
      </c>
      <c r="G129" s="7" t="n">
        <v>843</v>
      </c>
      <c r="H129" s="7" t="n">
        <v>0</v>
      </c>
    </row>
    <row r="130" customFormat="false" ht="15" hidden="false" customHeight="false" outlineLevel="0" collapsed="false">
      <c r="A130" s="7" t="n">
        <v>129</v>
      </c>
      <c r="B130" s="7" t="s">
        <v>351</v>
      </c>
      <c r="C130" s="7" t="n">
        <v>4.3</v>
      </c>
      <c r="D130" s="8" t="n">
        <f aca="false">C130/SUM($C$2:$C$182)</f>
        <v>0.000176907411597721</v>
      </c>
      <c r="E130" s="8" t="n">
        <f aca="false">E129+D130</f>
        <v>0.996375455125172</v>
      </c>
      <c r="F130" s="7" t="str">
        <f aca="false">IF(E130&lt;=0.7,"A",IF(E130&lt;=0.9,"B","C"))</f>
        <v>C</v>
      </c>
      <c r="G130" s="7" t="n">
        <v>5</v>
      </c>
      <c r="H130" s="7" t="n">
        <v>100</v>
      </c>
    </row>
    <row r="131" customFormat="false" ht="15" hidden="false" customHeight="false" outlineLevel="0" collapsed="false">
      <c r="A131" s="7" t="n">
        <v>130</v>
      </c>
      <c r="B131" s="7" t="s">
        <v>352</v>
      </c>
      <c r="C131" s="7" t="n">
        <v>4.1</v>
      </c>
      <c r="D131" s="8" t="n">
        <f aca="false">C131/SUM($C$2:$C$182)</f>
        <v>0.000168679159895501</v>
      </c>
      <c r="E131" s="8" t="n">
        <f aca="false">E130+D131</f>
        <v>0.996544134285068</v>
      </c>
      <c r="F131" s="7" t="str">
        <f aca="false">IF(E131&lt;=0.7,"A",IF(E131&lt;=0.9,"B","C"))</f>
        <v>C</v>
      </c>
      <c r="G131" s="7" t="n">
        <v>1</v>
      </c>
      <c r="H131" s="7" t="n">
        <v>100</v>
      </c>
    </row>
    <row r="132" customFormat="false" ht="15" hidden="false" customHeight="false" outlineLevel="0" collapsed="false">
      <c r="A132" s="7" t="n">
        <v>131</v>
      </c>
      <c r="B132" s="7" t="s">
        <v>353</v>
      </c>
      <c r="C132" s="7" t="n">
        <v>4.1</v>
      </c>
      <c r="D132" s="8" t="n">
        <f aca="false">C132/SUM($C$2:$C$182)</f>
        <v>0.000168679159895501</v>
      </c>
      <c r="E132" s="8" t="n">
        <f aca="false">E131+D132</f>
        <v>0.996712813444963</v>
      </c>
      <c r="F132" s="7" t="str">
        <f aca="false">IF(E132&lt;=0.7,"A",IF(E132&lt;=0.9,"B","C"))</f>
        <v>C</v>
      </c>
      <c r="G132" s="7" t="n">
        <v>84</v>
      </c>
      <c r="H132" s="7" t="n">
        <v>0</v>
      </c>
    </row>
    <row r="133" customFormat="false" ht="15" hidden="false" customHeight="false" outlineLevel="0" collapsed="false">
      <c r="A133" s="7" t="n">
        <v>132</v>
      </c>
      <c r="B133" s="7" t="s">
        <v>354</v>
      </c>
      <c r="C133" s="7" t="n">
        <v>3.8</v>
      </c>
      <c r="D133" s="8" t="n">
        <f aca="false">C133/SUM($C$2:$C$182)</f>
        <v>0.000156336782342172</v>
      </c>
      <c r="E133" s="8" t="n">
        <f aca="false">E132+D133</f>
        <v>0.996869150227305</v>
      </c>
      <c r="F133" s="7" t="str">
        <f aca="false">IF(E133&lt;=0.7,"A",IF(E133&lt;=0.9,"B","C"))</f>
        <v>C</v>
      </c>
      <c r="G133" s="7" t="n">
        <v>1</v>
      </c>
      <c r="H133" s="7" t="n">
        <v>50</v>
      </c>
    </row>
    <row r="134" customFormat="false" ht="15" hidden="false" customHeight="false" outlineLevel="0" collapsed="false">
      <c r="A134" s="7" t="n">
        <v>133</v>
      </c>
      <c r="B134" s="7" t="s">
        <v>355</v>
      </c>
      <c r="C134" s="7" t="n">
        <v>3.5</v>
      </c>
      <c r="D134" s="8" t="n">
        <f aca="false">C134/SUM($C$2:$C$182)</f>
        <v>0.000143994404788843</v>
      </c>
      <c r="E134" s="8" t="n">
        <f aca="false">E133+D134</f>
        <v>0.997013144632094</v>
      </c>
      <c r="F134" s="7" t="str">
        <f aca="false">IF(E134&lt;=0.7,"A",IF(E134&lt;=0.9,"B","C"))</f>
        <v>C</v>
      </c>
      <c r="G134" s="7" t="n">
        <v>11</v>
      </c>
      <c r="H134" s="7" t="n">
        <v>50</v>
      </c>
    </row>
    <row r="135" customFormat="false" ht="15" hidden="false" customHeight="false" outlineLevel="0" collapsed="false">
      <c r="A135" s="7" t="n">
        <v>134</v>
      </c>
      <c r="B135" s="7" t="s">
        <v>356</v>
      </c>
      <c r="C135" s="7" t="n">
        <v>3.2</v>
      </c>
      <c r="D135" s="8" t="n">
        <f aca="false">C135/SUM($C$2:$C$182)</f>
        <v>0.000131652027235513</v>
      </c>
      <c r="E135" s="8" t="n">
        <f aca="false">E134+D135</f>
        <v>0.99714479665933</v>
      </c>
      <c r="F135" s="7" t="str">
        <f aca="false">IF(E135&lt;=0.7,"A",IF(E135&lt;=0.9,"B","C"))</f>
        <v>C</v>
      </c>
      <c r="G135" s="7" t="n">
        <v>243</v>
      </c>
      <c r="H135" s="7" t="n">
        <v>0</v>
      </c>
    </row>
    <row r="136" customFormat="false" ht="15" hidden="false" customHeight="false" outlineLevel="0" collapsed="false">
      <c r="A136" s="7" t="n">
        <v>135</v>
      </c>
      <c r="B136" s="7" t="s">
        <v>357</v>
      </c>
      <c r="C136" s="7" t="n">
        <v>3.2</v>
      </c>
      <c r="D136" s="8" t="n">
        <f aca="false">C136/SUM($C$2:$C$182)</f>
        <v>0.000131652027235513</v>
      </c>
      <c r="E136" s="8" t="n">
        <f aca="false">E135+D136</f>
        <v>0.997276448686565</v>
      </c>
      <c r="F136" s="7" t="str">
        <f aca="false">IF(E136&lt;=0.7,"A",IF(E136&lt;=0.9,"B","C"))</f>
        <v>C</v>
      </c>
      <c r="G136" s="7" t="n">
        <v>1</v>
      </c>
      <c r="H136" s="7" t="n">
        <v>50</v>
      </c>
    </row>
    <row r="137" customFormat="false" ht="15" hidden="false" customHeight="false" outlineLevel="0" collapsed="false">
      <c r="A137" s="7" t="n">
        <v>136</v>
      </c>
      <c r="B137" s="7" t="s">
        <v>358</v>
      </c>
      <c r="C137" s="7" t="n">
        <v>3.2</v>
      </c>
      <c r="D137" s="8" t="n">
        <f aca="false">C137/SUM($C$2:$C$182)</f>
        <v>0.000131652027235513</v>
      </c>
      <c r="E137" s="8" t="n">
        <f aca="false">E136+D137</f>
        <v>0.997408100713801</v>
      </c>
      <c r="F137" s="7" t="str">
        <f aca="false">IF(E137&lt;=0.7,"A",IF(E137&lt;=0.9,"B","C"))</f>
        <v>C</v>
      </c>
      <c r="G137" s="7" t="n">
        <v>47</v>
      </c>
      <c r="H137" s="7" t="n">
        <v>50</v>
      </c>
    </row>
    <row r="138" customFormat="false" ht="15" hidden="false" customHeight="false" outlineLevel="0" collapsed="false">
      <c r="A138" s="7" t="n">
        <v>137</v>
      </c>
      <c r="B138" s="7" t="s">
        <v>359</v>
      </c>
      <c r="C138" s="7" t="n">
        <v>3.2</v>
      </c>
      <c r="D138" s="8" t="n">
        <f aca="false">C138/SUM($C$2:$C$182)</f>
        <v>0.000131652027235513</v>
      </c>
      <c r="E138" s="8" t="n">
        <f aca="false">E137+D138</f>
        <v>0.997539752741036</v>
      </c>
      <c r="F138" s="7" t="str">
        <f aca="false">IF(E138&lt;=0.7,"A",IF(E138&lt;=0.9,"B","C"))</f>
        <v>C</v>
      </c>
      <c r="G138" s="7" t="n">
        <v>168</v>
      </c>
      <c r="H138" s="7" t="n">
        <v>50</v>
      </c>
    </row>
    <row r="139" customFormat="false" ht="15" hidden="false" customHeight="false" outlineLevel="0" collapsed="false">
      <c r="A139" s="7" t="n">
        <v>138</v>
      </c>
      <c r="B139" s="7" t="s">
        <v>360</v>
      </c>
      <c r="C139" s="7" t="n">
        <v>3</v>
      </c>
      <c r="D139" s="8" t="n">
        <f aca="false">C139/SUM($C$2:$C$182)</f>
        <v>0.000123423775533294</v>
      </c>
      <c r="E139" s="8" t="n">
        <f aca="false">E138+D139</f>
        <v>0.99766317651657</v>
      </c>
      <c r="F139" s="7" t="str">
        <f aca="false">IF(E139&lt;=0.7,"A",IF(E139&lt;=0.9,"B","C"))</f>
        <v>C</v>
      </c>
      <c r="G139" s="7" t="n">
        <v>11</v>
      </c>
      <c r="H139" s="7" t="n">
        <v>100</v>
      </c>
    </row>
    <row r="140" customFormat="false" ht="15" hidden="false" customHeight="false" outlineLevel="0" collapsed="false">
      <c r="A140" s="7" t="n">
        <v>139</v>
      </c>
      <c r="B140" s="7" t="s">
        <v>361</v>
      </c>
      <c r="C140" s="7" t="n">
        <v>2.7</v>
      </c>
      <c r="D140" s="8" t="n">
        <f aca="false">C140/SUM($C$2:$C$182)</f>
        <v>0.000111081397979964</v>
      </c>
      <c r="E140" s="8" t="n">
        <f aca="false">E139+D140</f>
        <v>0.99777425791455</v>
      </c>
      <c r="F140" s="7" t="str">
        <f aca="false">IF(E140&lt;=0.7,"A",IF(E140&lt;=0.9,"B","C"))</f>
        <v>C</v>
      </c>
      <c r="G140" s="7" t="n">
        <v>40</v>
      </c>
      <c r="H140" s="7" t="n">
        <v>0</v>
      </c>
    </row>
    <row r="141" customFormat="false" ht="15" hidden="false" customHeight="false" outlineLevel="0" collapsed="false">
      <c r="A141" s="7" t="n">
        <v>140</v>
      </c>
      <c r="B141" s="7" t="s">
        <v>362</v>
      </c>
      <c r="C141" s="7" t="n">
        <v>2.7</v>
      </c>
      <c r="D141" s="8" t="n">
        <f aca="false">C141/SUM($C$2:$C$182)</f>
        <v>0.000111081397979964</v>
      </c>
      <c r="E141" s="8" t="n">
        <f aca="false">E140+D141</f>
        <v>0.99788533931253</v>
      </c>
      <c r="F141" s="7" t="str">
        <f aca="false">IF(E141&lt;=0.7,"A",IF(E141&lt;=0.9,"B","C"))</f>
        <v>C</v>
      </c>
      <c r="G141" s="7" t="n">
        <v>90</v>
      </c>
      <c r="H141" s="7" t="n">
        <v>50</v>
      </c>
    </row>
    <row r="142" customFormat="false" ht="15" hidden="false" customHeight="false" outlineLevel="0" collapsed="false">
      <c r="A142" s="7" t="n">
        <v>141</v>
      </c>
      <c r="B142" s="7" t="s">
        <v>363</v>
      </c>
      <c r="C142" s="7" t="n">
        <v>2.7</v>
      </c>
      <c r="D142" s="8" t="n">
        <f aca="false">C142/SUM($C$2:$C$182)</f>
        <v>0.000111081397979964</v>
      </c>
      <c r="E142" s="8" t="n">
        <f aca="false">E141+D142</f>
        <v>0.99799642071051</v>
      </c>
      <c r="F142" s="7" t="str">
        <f aca="false">IF(E142&lt;=0.7,"A",IF(E142&lt;=0.9,"B","C"))</f>
        <v>C</v>
      </c>
      <c r="G142" s="7" t="n">
        <v>589</v>
      </c>
      <c r="H142" s="7" t="n">
        <v>50</v>
      </c>
    </row>
    <row r="143" customFormat="false" ht="15" hidden="false" customHeight="false" outlineLevel="0" collapsed="false">
      <c r="A143" s="7" t="n">
        <v>142</v>
      </c>
      <c r="B143" s="7" t="s">
        <v>364</v>
      </c>
      <c r="C143" s="7" t="n">
        <v>2.7</v>
      </c>
      <c r="D143" s="8" t="n">
        <f aca="false">C143/SUM($C$2:$C$182)</f>
        <v>0.000111081397979964</v>
      </c>
      <c r="E143" s="8" t="n">
        <f aca="false">E142+D143</f>
        <v>0.99810750210849</v>
      </c>
      <c r="F143" s="7" t="str">
        <f aca="false">IF(E143&lt;=0.7,"A",IF(E143&lt;=0.9,"B","C"))</f>
        <v>C</v>
      </c>
      <c r="G143" s="7" t="n">
        <v>95</v>
      </c>
      <c r="H143" s="7" t="n">
        <v>50</v>
      </c>
    </row>
    <row r="144" customFormat="false" ht="15" hidden="false" customHeight="false" outlineLevel="0" collapsed="false">
      <c r="A144" s="7" t="n">
        <v>143</v>
      </c>
      <c r="B144" s="7" t="s">
        <v>365</v>
      </c>
      <c r="C144" s="7" t="n">
        <v>2.7</v>
      </c>
      <c r="D144" s="8" t="n">
        <f aca="false">C144/SUM($C$2:$C$182)</f>
        <v>0.000111081397979964</v>
      </c>
      <c r="E144" s="8" t="n">
        <f aca="false">E143+D144</f>
        <v>0.99821858350647</v>
      </c>
      <c r="F144" s="7" t="str">
        <f aca="false">IF(E144&lt;=0.7,"A",IF(E144&lt;=0.9,"B","C"))</f>
        <v>C</v>
      </c>
      <c r="G144" s="7" t="n">
        <v>8</v>
      </c>
      <c r="H144" s="7" t="n">
        <v>50</v>
      </c>
    </row>
    <row r="145" customFormat="false" ht="15" hidden="false" customHeight="false" outlineLevel="0" collapsed="false">
      <c r="A145" s="7" t="n">
        <v>144</v>
      </c>
      <c r="B145" s="7" t="s">
        <v>366</v>
      </c>
      <c r="C145" s="7" t="n">
        <v>2.4</v>
      </c>
      <c r="D145" s="8" t="n">
        <f aca="false">C145/SUM($C$2:$C$182)</f>
        <v>9.87390204266349E-005</v>
      </c>
      <c r="E145" s="8" t="n">
        <f aca="false">E144+D145</f>
        <v>0.998317322526896</v>
      </c>
      <c r="F145" s="7" t="str">
        <f aca="false">IF(E145&lt;=0.7,"A",IF(E145&lt;=0.9,"B","C"))</f>
        <v>C</v>
      </c>
      <c r="G145" s="7" t="n">
        <v>92</v>
      </c>
      <c r="H145" s="7" t="n">
        <v>50</v>
      </c>
    </row>
    <row r="146" customFormat="false" ht="15" hidden="false" customHeight="false" outlineLevel="0" collapsed="false">
      <c r="A146" s="7" t="n">
        <v>145</v>
      </c>
      <c r="B146" s="7" t="s">
        <v>367</v>
      </c>
      <c r="C146" s="7" t="n">
        <v>2.4</v>
      </c>
      <c r="D146" s="8" t="n">
        <f aca="false">C146/SUM($C$2:$C$182)</f>
        <v>9.87390204266349E-005</v>
      </c>
      <c r="E146" s="8" t="n">
        <f aca="false">E145+D146</f>
        <v>0.998416061547323</v>
      </c>
      <c r="F146" s="7" t="str">
        <f aca="false">IF(E146&lt;=0.7,"A",IF(E146&lt;=0.9,"B","C"))</f>
        <v>C</v>
      </c>
      <c r="G146" s="7" t="n">
        <v>603</v>
      </c>
      <c r="H146" s="7" t="n">
        <v>550</v>
      </c>
    </row>
    <row r="147" customFormat="false" ht="15" hidden="false" customHeight="false" outlineLevel="0" collapsed="false">
      <c r="A147" s="7" t="n">
        <v>146</v>
      </c>
      <c r="B147" s="7" t="s">
        <v>368</v>
      </c>
      <c r="C147" s="7" t="n">
        <v>2.4</v>
      </c>
      <c r="D147" s="8" t="n">
        <f aca="false">C147/SUM($C$2:$C$182)</f>
        <v>9.87390204266349E-005</v>
      </c>
      <c r="E147" s="8" t="n">
        <f aca="false">E146+D147</f>
        <v>0.99851480056775</v>
      </c>
      <c r="F147" s="7" t="str">
        <f aca="false">IF(E147&lt;=0.7,"A",IF(E147&lt;=0.9,"B","C"))</f>
        <v>C</v>
      </c>
      <c r="G147" s="7" t="n">
        <v>60</v>
      </c>
      <c r="H147" s="7" t="n">
        <v>50</v>
      </c>
    </row>
    <row r="148" customFormat="false" ht="15" hidden="false" customHeight="false" outlineLevel="0" collapsed="false">
      <c r="A148" s="7" t="n">
        <v>147</v>
      </c>
      <c r="B148" s="7" t="s">
        <v>369</v>
      </c>
      <c r="C148" s="7" t="n">
        <v>2.2</v>
      </c>
      <c r="D148" s="8" t="n">
        <f aca="false">C148/SUM($C$2:$C$182)</f>
        <v>9.05107687244153E-005</v>
      </c>
      <c r="E148" s="8" t="n">
        <f aca="false">E147+D148</f>
        <v>0.998605311336474</v>
      </c>
      <c r="F148" s="7" t="str">
        <f aca="false">IF(E148&lt;=0.7,"A",IF(E148&lt;=0.9,"B","C"))</f>
        <v>C</v>
      </c>
      <c r="G148" s="7" t="n">
        <v>143</v>
      </c>
      <c r="H148" s="7" t="n">
        <v>250</v>
      </c>
    </row>
    <row r="149" customFormat="false" ht="15" hidden="false" customHeight="false" outlineLevel="0" collapsed="false">
      <c r="A149" s="7" t="n">
        <v>148</v>
      </c>
      <c r="B149" s="7" t="s">
        <v>370</v>
      </c>
      <c r="C149" s="7" t="n">
        <v>1.9</v>
      </c>
      <c r="D149" s="8" t="n">
        <f aca="false">C149/SUM($C$2:$C$182)</f>
        <v>7.81683911710859E-005</v>
      </c>
      <c r="E149" s="8" t="n">
        <f aca="false">E148+D149</f>
        <v>0.998683479727645</v>
      </c>
      <c r="F149" s="7" t="str">
        <f aca="false">IF(E149&lt;=0.7,"A",IF(E149&lt;=0.9,"B","C"))</f>
        <v>C</v>
      </c>
      <c r="G149" s="7" t="n">
        <v>2</v>
      </c>
      <c r="H149" s="7" t="n">
        <v>100</v>
      </c>
    </row>
    <row r="150" customFormat="false" ht="15" hidden="false" customHeight="false" outlineLevel="0" collapsed="false">
      <c r="A150" s="7" t="n">
        <v>149</v>
      </c>
      <c r="B150" s="7" t="s">
        <v>371</v>
      </c>
      <c r="C150" s="7" t="n">
        <v>1.9</v>
      </c>
      <c r="D150" s="8" t="n">
        <f aca="false">C150/SUM($C$2:$C$182)</f>
        <v>7.81683911710859E-005</v>
      </c>
      <c r="E150" s="8" t="n">
        <f aca="false">E149+D150</f>
        <v>0.998761648118816</v>
      </c>
      <c r="F150" s="7" t="str">
        <f aca="false">IF(E150&lt;=0.7,"A",IF(E150&lt;=0.9,"B","C"))</f>
        <v>C</v>
      </c>
      <c r="G150" s="7" t="n">
        <v>44</v>
      </c>
      <c r="H150" s="7" t="n">
        <v>50</v>
      </c>
    </row>
    <row r="151" customFormat="false" ht="15" hidden="false" customHeight="false" outlineLevel="0" collapsed="false">
      <c r="A151" s="7" t="n">
        <v>150</v>
      </c>
      <c r="B151" s="7" t="s">
        <v>372</v>
      </c>
      <c r="C151" s="7" t="n">
        <v>1.9</v>
      </c>
      <c r="D151" s="8" t="n">
        <f aca="false">C151/SUM($C$2:$C$182)</f>
        <v>7.81683911710859E-005</v>
      </c>
      <c r="E151" s="8" t="n">
        <f aca="false">E150+D151</f>
        <v>0.998839816509988</v>
      </c>
      <c r="F151" s="7" t="str">
        <f aca="false">IF(E151&lt;=0.7,"A",IF(E151&lt;=0.9,"B","C"))</f>
        <v>C</v>
      </c>
      <c r="G151" s="7" t="n">
        <v>85</v>
      </c>
      <c r="H151" s="7" t="n">
        <v>50</v>
      </c>
    </row>
    <row r="152" customFormat="false" ht="15" hidden="false" customHeight="false" outlineLevel="0" collapsed="false">
      <c r="A152" s="7" t="n">
        <v>151</v>
      </c>
      <c r="B152" s="7" t="s">
        <v>373</v>
      </c>
      <c r="C152" s="7" t="n">
        <v>1.9</v>
      </c>
      <c r="D152" s="8" t="n">
        <f aca="false">C152/SUM($C$2:$C$182)</f>
        <v>7.81683911710859E-005</v>
      </c>
      <c r="E152" s="8" t="n">
        <f aca="false">E151+D152</f>
        <v>0.998917984901159</v>
      </c>
      <c r="F152" s="7" t="str">
        <f aca="false">IF(E152&lt;=0.7,"A",IF(E152&lt;=0.9,"B","C"))</f>
        <v>C</v>
      </c>
      <c r="G152" s="7" t="n">
        <v>115</v>
      </c>
      <c r="H152" s="7" t="n">
        <v>50</v>
      </c>
    </row>
    <row r="153" customFormat="false" ht="15" hidden="false" customHeight="false" outlineLevel="0" collapsed="false">
      <c r="A153" s="7" t="n">
        <v>152</v>
      </c>
      <c r="B153" s="7" t="s">
        <v>374</v>
      </c>
      <c r="C153" s="7" t="n">
        <v>1.9</v>
      </c>
      <c r="D153" s="8" t="n">
        <f aca="false">C153/SUM($C$2:$C$182)</f>
        <v>7.81683911710859E-005</v>
      </c>
      <c r="E153" s="8" t="n">
        <f aca="false">E152+D153</f>
        <v>0.99899615329233</v>
      </c>
      <c r="F153" s="7" t="str">
        <f aca="false">IF(E153&lt;=0.7,"A",IF(E153&lt;=0.9,"B","C"))</f>
        <v>C</v>
      </c>
      <c r="G153" s="7" t="n">
        <v>21</v>
      </c>
      <c r="H153" s="7" t="n">
        <v>50</v>
      </c>
    </row>
    <row r="154" customFormat="false" ht="15" hidden="false" customHeight="false" outlineLevel="0" collapsed="false">
      <c r="A154" s="7" t="n">
        <v>153</v>
      </c>
      <c r="B154" s="7" t="s">
        <v>375</v>
      </c>
      <c r="C154" s="7" t="n">
        <v>1.6</v>
      </c>
      <c r="D154" s="8" t="n">
        <f aca="false">C154/SUM($C$2:$C$182)</f>
        <v>6.58260136177566E-005</v>
      </c>
      <c r="E154" s="8" t="n">
        <f aca="false">E153+D154</f>
        <v>0.999061979305948</v>
      </c>
      <c r="F154" s="7" t="str">
        <f aca="false">IF(E154&lt;=0.7,"A",IF(E154&lt;=0.9,"B","C"))</f>
        <v>C</v>
      </c>
      <c r="G154" s="7" t="n">
        <v>1</v>
      </c>
      <c r="H154" s="7" t="n">
        <v>0</v>
      </c>
    </row>
    <row r="155" customFormat="false" ht="15" hidden="false" customHeight="false" outlineLevel="0" collapsed="false">
      <c r="A155" s="7" t="n">
        <v>154</v>
      </c>
      <c r="B155" s="7" t="s">
        <v>376</v>
      </c>
      <c r="C155" s="7" t="n">
        <v>1.6</v>
      </c>
      <c r="D155" s="8" t="n">
        <f aca="false">C155/SUM($C$2:$C$182)</f>
        <v>6.58260136177566E-005</v>
      </c>
      <c r="E155" s="8" t="n">
        <f aca="false">E154+D155</f>
        <v>0.999127805319565</v>
      </c>
      <c r="F155" s="7" t="str">
        <f aca="false">IF(E155&lt;=0.7,"A",IF(E155&lt;=0.9,"B","C"))</f>
        <v>C</v>
      </c>
      <c r="G155" s="7" t="n">
        <v>1</v>
      </c>
      <c r="H155" s="7" t="n">
        <v>50</v>
      </c>
    </row>
    <row r="156" customFormat="false" ht="15" hidden="false" customHeight="false" outlineLevel="0" collapsed="false">
      <c r="A156" s="7" t="n">
        <v>155</v>
      </c>
      <c r="B156" s="7" t="s">
        <v>377</v>
      </c>
      <c r="C156" s="7" t="n">
        <v>1.6</v>
      </c>
      <c r="D156" s="8" t="n">
        <f aca="false">C156/SUM($C$2:$C$182)</f>
        <v>6.58260136177566E-005</v>
      </c>
      <c r="E156" s="8" t="n">
        <f aca="false">E155+D156</f>
        <v>0.999193631333183</v>
      </c>
      <c r="F156" s="7" t="str">
        <f aca="false">IF(E156&lt;=0.7,"A",IF(E156&lt;=0.9,"B","C"))</f>
        <v>C</v>
      </c>
      <c r="G156" s="7" t="n">
        <v>0</v>
      </c>
      <c r="H156" s="7" t="n">
        <v>50</v>
      </c>
    </row>
    <row r="157" customFormat="false" ht="15" hidden="false" customHeight="false" outlineLevel="0" collapsed="false">
      <c r="A157" s="7" t="n">
        <v>156</v>
      </c>
      <c r="B157" s="7" t="s">
        <v>378</v>
      </c>
      <c r="C157" s="7" t="n">
        <v>1.6</v>
      </c>
      <c r="D157" s="8" t="n">
        <f aca="false">C157/SUM($C$2:$C$182)</f>
        <v>6.58260136177566E-005</v>
      </c>
      <c r="E157" s="8" t="n">
        <f aca="false">E156+D157</f>
        <v>0.999259457346801</v>
      </c>
      <c r="F157" s="7" t="str">
        <f aca="false">IF(E157&lt;=0.7,"A",IF(E157&lt;=0.9,"B","C"))</f>
        <v>C</v>
      </c>
      <c r="G157" s="7" t="n">
        <v>56</v>
      </c>
      <c r="H157" s="7" t="n">
        <v>250</v>
      </c>
    </row>
    <row r="158" customFormat="false" ht="15" hidden="false" customHeight="false" outlineLevel="0" collapsed="false">
      <c r="A158" s="7" t="n">
        <v>157</v>
      </c>
      <c r="B158" s="7" t="s">
        <v>379</v>
      </c>
      <c r="C158" s="7" t="n">
        <v>1.4</v>
      </c>
      <c r="D158" s="8" t="n">
        <f aca="false">C158/SUM($C$2:$C$182)</f>
        <v>5.7597761915537E-005</v>
      </c>
      <c r="E158" s="8" t="n">
        <f aca="false">E157+D158</f>
        <v>0.999317055108716</v>
      </c>
      <c r="F158" s="7" t="str">
        <f aca="false">IF(E158&lt;=0.7,"A",IF(E158&lt;=0.9,"B","C"))</f>
        <v>C</v>
      </c>
      <c r="G158" s="7" t="n">
        <v>80</v>
      </c>
      <c r="H158" s="7" t="n">
        <v>50</v>
      </c>
    </row>
    <row r="159" customFormat="false" ht="15" hidden="false" customHeight="false" outlineLevel="0" collapsed="false">
      <c r="A159" s="7" t="n">
        <v>158</v>
      </c>
      <c r="B159" s="7" t="s">
        <v>380</v>
      </c>
      <c r="C159" s="7" t="n">
        <v>1.4</v>
      </c>
      <c r="D159" s="8" t="n">
        <f aca="false">C159/SUM($C$2:$C$182)</f>
        <v>5.7597761915537E-005</v>
      </c>
      <c r="E159" s="8" t="n">
        <f aca="false">E158+D159</f>
        <v>0.999374652870632</v>
      </c>
      <c r="F159" s="7" t="str">
        <f aca="false">IF(E159&lt;=0.7,"A",IF(E159&lt;=0.9,"B","C"))</f>
        <v>C</v>
      </c>
      <c r="G159" s="7" t="n">
        <v>212</v>
      </c>
      <c r="H159" s="7" t="n">
        <v>50</v>
      </c>
    </row>
    <row r="160" customFormat="false" ht="15" hidden="false" customHeight="false" outlineLevel="0" collapsed="false">
      <c r="A160" s="7" t="n">
        <v>159</v>
      </c>
      <c r="B160" s="7" t="s">
        <v>381</v>
      </c>
      <c r="C160" s="7" t="n">
        <v>1.4</v>
      </c>
      <c r="D160" s="8" t="n">
        <f aca="false">C160/SUM($C$2:$C$182)</f>
        <v>5.7597761915537E-005</v>
      </c>
      <c r="E160" s="8" t="n">
        <f aca="false">E159+D160</f>
        <v>0.999432250632547</v>
      </c>
      <c r="F160" s="7" t="str">
        <f aca="false">IF(E160&lt;=0.7,"A",IF(E160&lt;=0.9,"B","C"))</f>
        <v>C</v>
      </c>
      <c r="G160" s="7" t="n">
        <v>119</v>
      </c>
      <c r="H160" s="7" t="n">
        <v>50</v>
      </c>
    </row>
    <row r="161" customFormat="false" ht="15" hidden="false" customHeight="false" outlineLevel="0" collapsed="false">
      <c r="A161" s="7" t="n">
        <v>160</v>
      </c>
      <c r="B161" s="7" t="s">
        <v>382</v>
      </c>
      <c r="C161" s="7" t="n">
        <v>1.1</v>
      </c>
      <c r="D161" s="8" t="n">
        <f aca="false">C161/SUM($C$2:$C$182)</f>
        <v>4.52553843622076E-005</v>
      </c>
      <c r="E161" s="8" t="n">
        <f aca="false">E160+D161</f>
        <v>0.999477506016909</v>
      </c>
      <c r="F161" s="7" t="str">
        <f aca="false">IF(E161&lt;=0.7,"A",IF(E161&lt;=0.9,"B","C"))</f>
        <v>C</v>
      </c>
      <c r="G161" s="7" t="n">
        <v>61</v>
      </c>
      <c r="H161" s="7" t="n">
        <v>50</v>
      </c>
    </row>
    <row r="162" customFormat="false" ht="15" hidden="false" customHeight="false" outlineLevel="0" collapsed="false">
      <c r="A162" s="7" t="n">
        <v>161</v>
      </c>
      <c r="B162" s="7" t="s">
        <v>383</v>
      </c>
      <c r="C162" s="7" t="n">
        <v>1.1</v>
      </c>
      <c r="D162" s="8" t="n">
        <f aca="false">C162/SUM($C$2:$C$182)</f>
        <v>4.52553843622076E-005</v>
      </c>
      <c r="E162" s="8" t="n">
        <f aca="false">E161+D162</f>
        <v>0.999522761401272</v>
      </c>
      <c r="F162" s="7" t="str">
        <f aca="false">IF(E162&lt;=0.7,"A",IF(E162&lt;=0.9,"B","C"))</f>
        <v>C</v>
      </c>
      <c r="G162" s="7" t="n">
        <v>8</v>
      </c>
      <c r="H162" s="7" t="n">
        <v>50</v>
      </c>
    </row>
    <row r="163" customFormat="false" ht="15" hidden="false" customHeight="false" outlineLevel="0" collapsed="false">
      <c r="A163" s="7" t="n">
        <v>162</v>
      </c>
      <c r="B163" s="7" t="s">
        <v>384</v>
      </c>
      <c r="C163" s="7" t="n">
        <v>1.1</v>
      </c>
      <c r="D163" s="8" t="n">
        <f aca="false">C163/SUM($C$2:$C$182)</f>
        <v>4.52553843622076E-005</v>
      </c>
      <c r="E163" s="8" t="n">
        <f aca="false">E162+D163</f>
        <v>0.999568016785634</v>
      </c>
      <c r="F163" s="7" t="str">
        <f aca="false">IF(E163&lt;=0.7,"A",IF(E163&lt;=0.9,"B","C"))</f>
        <v>C</v>
      </c>
      <c r="G163" s="7" t="n">
        <v>202</v>
      </c>
      <c r="H163" s="7" t="n">
        <v>0</v>
      </c>
    </row>
    <row r="164" customFormat="false" ht="15" hidden="false" customHeight="false" outlineLevel="0" collapsed="false">
      <c r="A164" s="7" t="n">
        <v>163</v>
      </c>
      <c r="B164" s="7" t="s">
        <v>385</v>
      </c>
      <c r="C164" s="7" t="n">
        <v>1.1</v>
      </c>
      <c r="D164" s="8" t="n">
        <f aca="false">C164/SUM($C$2:$C$182)</f>
        <v>4.52553843622076E-005</v>
      </c>
      <c r="E164" s="8" t="n">
        <f aca="false">E163+D164</f>
        <v>0.999613272169996</v>
      </c>
      <c r="F164" s="7" t="str">
        <f aca="false">IF(E164&lt;=0.7,"A",IF(E164&lt;=0.9,"B","C"))</f>
        <v>C</v>
      </c>
      <c r="G164" s="7" t="n">
        <v>322</v>
      </c>
      <c r="H164" s="7" t="n">
        <v>50</v>
      </c>
    </row>
    <row r="165" customFormat="false" ht="15" hidden="false" customHeight="false" outlineLevel="0" collapsed="false">
      <c r="A165" s="7" t="n">
        <v>164</v>
      </c>
      <c r="B165" s="7" t="s">
        <v>386</v>
      </c>
      <c r="C165" s="7" t="n">
        <v>1.1</v>
      </c>
      <c r="D165" s="8" t="n">
        <f aca="false">C165/SUM($C$2:$C$182)</f>
        <v>4.52553843622076E-005</v>
      </c>
      <c r="E165" s="8" t="n">
        <f aca="false">E164+D165</f>
        <v>0.999658527554358</v>
      </c>
      <c r="F165" s="7" t="str">
        <f aca="false">IF(E165&lt;=0.7,"A",IF(E165&lt;=0.9,"B","C"))</f>
        <v>C</v>
      </c>
      <c r="G165" s="7" t="n">
        <v>5</v>
      </c>
      <c r="H165" s="7" t="n">
        <v>50</v>
      </c>
    </row>
    <row r="166" customFormat="false" ht="15" hidden="false" customHeight="false" outlineLevel="0" collapsed="false">
      <c r="A166" s="7" t="n">
        <v>165</v>
      </c>
      <c r="B166" s="7" t="s">
        <v>387</v>
      </c>
      <c r="C166" s="7" t="n">
        <v>0.8</v>
      </c>
      <c r="D166" s="8" t="n">
        <f aca="false">C166/SUM($C$2:$C$182)</f>
        <v>3.29130068088783E-005</v>
      </c>
      <c r="E166" s="8" t="n">
        <f aca="false">E165+D166</f>
        <v>0.999691440561167</v>
      </c>
      <c r="F166" s="7" t="str">
        <f aca="false">IF(E166&lt;=0.7,"A",IF(E166&lt;=0.9,"B","C"))</f>
        <v>C</v>
      </c>
      <c r="G166" s="7" t="n">
        <v>30</v>
      </c>
      <c r="H166" s="7" t="n">
        <v>50</v>
      </c>
    </row>
    <row r="167" customFormat="false" ht="15" hidden="false" customHeight="false" outlineLevel="0" collapsed="false">
      <c r="A167" s="7" t="n">
        <v>166</v>
      </c>
      <c r="B167" s="7" t="s">
        <v>388</v>
      </c>
      <c r="C167" s="7" t="n">
        <v>0.8</v>
      </c>
      <c r="D167" s="8" t="n">
        <f aca="false">C167/SUM($C$2:$C$182)</f>
        <v>3.29130068088783E-005</v>
      </c>
      <c r="E167" s="8" t="n">
        <f aca="false">E166+D167</f>
        <v>0.999724353567976</v>
      </c>
      <c r="F167" s="7" t="str">
        <f aca="false">IF(E167&lt;=0.7,"A",IF(E167&lt;=0.9,"B","C"))</f>
        <v>C</v>
      </c>
      <c r="G167" s="7" t="n">
        <v>198</v>
      </c>
      <c r="H167" s="7" t="n">
        <v>50</v>
      </c>
    </row>
    <row r="168" customFormat="false" ht="15" hidden="false" customHeight="false" outlineLevel="0" collapsed="false">
      <c r="A168" s="7" t="n">
        <v>167</v>
      </c>
      <c r="B168" s="7" t="s">
        <v>389</v>
      </c>
      <c r="C168" s="7" t="n">
        <v>0.8</v>
      </c>
      <c r="D168" s="8" t="n">
        <f aca="false">C168/SUM($C$2:$C$182)</f>
        <v>3.29130068088783E-005</v>
      </c>
      <c r="E168" s="8" t="n">
        <f aca="false">E167+D168</f>
        <v>0.999757266574785</v>
      </c>
      <c r="F168" s="7" t="str">
        <f aca="false">IF(E168&lt;=0.7,"A",IF(E168&lt;=0.9,"B","C"))</f>
        <v>C</v>
      </c>
      <c r="G168" s="7" t="n">
        <v>1</v>
      </c>
      <c r="H168" s="7" t="n">
        <v>50</v>
      </c>
    </row>
    <row r="169" customFormat="false" ht="15" hidden="false" customHeight="false" outlineLevel="0" collapsed="false">
      <c r="A169" s="7" t="n">
        <v>168</v>
      </c>
      <c r="B169" s="7" t="s">
        <v>390</v>
      </c>
      <c r="C169" s="7" t="n">
        <v>0.8</v>
      </c>
      <c r="D169" s="8" t="n">
        <f aca="false">C169/SUM($C$2:$C$182)</f>
        <v>3.29130068088783E-005</v>
      </c>
      <c r="E169" s="8" t="n">
        <f aca="false">E168+D169</f>
        <v>0.999790179581593</v>
      </c>
      <c r="F169" s="7" t="str">
        <f aca="false">IF(E169&lt;=0.7,"A",IF(E169&lt;=0.9,"B","C"))</f>
        <v>C</v>
      </c>
      <c r="G169" s="7" t="n">
        <v>27</v>
      </c>
      <c r="H169" s="7" t="n">
        <v>50</v>
      </c>
    </row>
    <row r="170" customFormat="false" ht="15" hidden="false" customHeight="false" outlineLevel="0" collapsed="false">
      <c r="A170" s="7" t="n">
        <v>169</v>
      </c>
      <c r="B170" s="7" t="s">
        <v>391</v>
      </c>
      <c r="C170" s="7" t="n">
        <v>0.5</v>
      </c>
      <c r="D170" s="8" t="n">
        <f aca="false">C170/SUM($C$2:$C$182)</f>
        <v>2.05706292555489E-005</v>
      </c>
      <c r="E170" s="8" t="n">
        <f aca="false">E169+D170</f>
        <v>0.999810750210849</v>
      </c>
      <c r="F170" s="7" t="str">
        <f aca="false">IF(E170&lt;=0.7,"A",IF(E170&lt;=0.9,"B","C"))</f>
        <v>C</v>
      </c>
      <c r="G170" s="7" t="n">
        <v>20</v>
      </c>
      <c r="H170" s="7" t="n">
        <v>50</v>
      </c>
    </row>
    <row r="171" customFormat="false" ht="15" hidden="false" customHeight="false" outlineLevel="0" collapsed="false">
      <c r="A171" s="7" t="n">
        <v>170</v>
      </c>
      <c r="B171" s="7" t="s">
        <v>392</v>
      </c>
      <c r="C171" s="7" t="n">
        <v>0.5</v>
      </c>
      <c r="D171" s="8" t="n">
        <f aca="false">C171/SUM($C$2:$C$182)</f>
        <v>2.05706292555489E-005</v>
      </c>
      <c r="E171" s="8" t="n">
        <f aca="false">E170+D171</f>
        <v>0.999831320840105</v>
      </c>
      <c r="F171" s="7" t="str">
        <f aca="false">IF(E171&lt;=0.7,"A",IF(E171&lt;=0.9,"B","C"))</f>
        <v>C</v>
      </c>
      <c r="G171" s="7" t="n">
        <v>22</v>
      </c>
      <c r="H171" s="7" t="n">
        <v>50</v>
      </c>
    </row>
    <row r="172" customFormat="false" ht="15" hidden="false" customHeight="false" outlineLevel="0" collapsed="false">
      <c r="A172" s="7" t="n">
        <v>171</v>
      </c>
      <c r="B172" s="7" t="s">
        <v>393</v>
      </c>
      <c r="C172" s="7" t="n">
        <v>0.5</v>
      </c>
      <c r="D172" s="8" t="n">
        <f aca="false">C172/SUM($C$2:$C$182)</f>
        <v>2.05706292555489E-005</v>
      </c>
      <c r="E172" s="8" t="n">
        <f aca="false">E171+D172</f>
        <v>0.99985189146936</v>
      </c>
      <c r="F172" s="7" t="str">
        <f aca="false">IF(E172&lt;=0.7,"A",IF(E172&lt;=0.9,"B","C"))</f>
        <v>C</v>
      </c>
      <c r="G172" s="7" t="n">
        <v>7</v>
      </c>
      <c r="H172" s="7" t="n">
        <v>50</v>
      </c>
    </row>
    <row r="173" customFormat="false" ht="15" hidden="false" customHeight="false" outlineLevel="0" collapsed="false">
      <c r="A173" s="7" t="n">
        <v>172</v>
      </c>
      <c r="B173" s="7" t="s">
        <v>394</v>
      </c>
      <c r="C173" s="7" t="n">
        <v>0.5</v>
      </c>
      <c r="D173" s="8" t="n">
        <f aca="false">C173/SUM($C$2:$C$182)</f>
        <v>2.05706292555489E-005</v>
      </c>
      <c r="E173" s="8" t="n">
        <f aca="false">E172+D173</f>
        <v>0.999872462098616</v>
      </c>
      <c r="F173" s="7" t="str">
        <f aca="false">IF(E173&lt;=0.7,"A",IF(E173&lt;=0.9,"B","C"))</f>
        <v>C</v>
      </c>
      <c r="G173" s="7" t="n">
        <v>533</v>
      </c>
      <c r="H173" s="7" t="n">
        <v>100</v>
      </c>
    </row>
    <row r="174" customFormat="false" ht="15" hidden="false" customHeight="false" outlineLevel="0" collapsed="false">
      <c r="A174" s="7" t="n">
        <v>173</v>
      </c>
      <c r="B174" s="7" t="s">
        <v>395</v>
      </c>
      <c r="C174" s="7" t="n">
        <v>0.5</v>
      </c>
      <c r="D174" s="8" t="n">
        <f aca="false">C174/SUM($C$2:$C$182)</f>
        <v>2.05706292555489E-005</v>
      </c>
      <c r="E174" s="8" t="n">
        <f aca="false">E173+D174</f>
        <v>0.999893032727871</v>
      </c>
      <c r="F174" s="7" t="str">
        <f aca="false">IF(E174&lt;=0.7,"A",IF(E174&lt;=0.9,"B","C"))</f>
        <v>C</v>
      </c>
      <c r="G174" s="7" t="n">
        <v>262</v>
      </c>
      <c r="H174" s="7" t="n">
        <v>50</v>
      </c>
    </row>
    <row r="175" customFormat="false" ht="15" hidden="false" customHeight="false" outlineLevel="0" collapsed="false">
      <c r="A175" s="7" t="n">
        <v>174</v>
      </c>
      <c r="B175" s="7" t="s">
        <v>396</v>
      </c>
      <c r="C175" s="7" t="n">
        <v>0.5</v>
      </c>
      <c r="D175" s="8" t="n">
        <f aca="false">C175/SUM($C$2:$C$182)</f>
        <v>2.05706292555489E-005</v>
      </c>
      <c r="E175" s="8" t="n">
        <f aca="false">E174+D175</f>
        <v>0.999913603357127</v>
      </c>
      <c r="F175" s="7" t="str">
        <f aca="false">IF(E175&lt;=0.7,"A",IF(E175&lt;=0.9,"B","C"))</f>
        <v>C</v>
      </c>
      <c r="G175" s="7" t="n">
        <v>97</v>
      </c>
      <c r="H175" s="7" t="n">
        <v>50</v>
      </c>
    </row>
    <row r="176" customFormat="false" ht="15" hidden="false" customHeight="false" outlineLevel="0" collapsed="false">
      <c r="A176" s="7" t="n">
        <v>175</v>
      </c>
      <c r="B176" s="7" t="s">
        <v>397</v>
      </c>
      <c r="C176" s="7" t="n">
        <v>0.3</v>
      </c>
      <c r="D176" s="8" t="n">
        <f aca="false">C176/SUM($C$2:$C$182)</f>
        <v>1.23423775533294E-005</v>
      </c>
      <c r="E176" s="8" t="n">
        <f aca="false">E175+D176</f>
        <v>0.99992594573468</v>
      </c>
      <c r="F176" s="7" t="str">
        <f aca="false">IF(E176&lt;=0.7,"A",IF(E176&lt;=0.9,"B","C"))</f>
        <v>C</v>
      </c>
      <c r="G176" s="7" t="n">
        <v>99</v>
      </c>
      <c r="H176" s="7" t="n">
        <v>50</v>
      </c>
    </row>
    <row r="177" customFormat="false" ht="15" hidden="false" customHeight="false" outlineLevel="0" collapsed="false">
      <c r="A177" s="7" t="n">
        <v>176</v>
      </c>
      <c r="B177" s="7" t="s">
        <v>398</v>
      </c>
      <c r="C177" s="7" t="n">
        <v>0.3</v>
      </c>
      <c r="D177" s="8" t="n">
        <f aca="false">C177/SUM($C$2:$C$182)</f>
        <v>1.23423775533294E-005</v>
      </c>
      <c r="E177" s="8" t="n">
        <f aca="false">E176+D177</f>
        <v>0.999938288112233</v>
      </c>
      <c r="F177" s="7" t="str">
        <f aca="false">IF(E177&lt;=0.7,"A",IF(E177&lt;=0.9,"B","C"))</f>
        <v>C</v>
      </c>
      <c r="G177" s="7" t="n">
        <v>27</v>
      </c>
      <c r="H177" s="7" t="n">
        <v>50</v>
      </c>
    </row>
    <row r="178" customFormat="false" ht="15" hidden="false" customHeight="false" outlineLevel="0" collapsed="false">
      <c r="A178" s="7" t="n">
        <v>177</v>
      </c>
      <c r="B178" s="7" t="s">
        <v>399</v>
      </c>
      <c r="C178" s="7" t="n">
        <v>0.3</v>
      </c>
      <c r="D178" s="8" t="n">
        <f aca="false">C178/SUM($C$2:$C$182)</f>
        <v>1.23423775533294E-005</v>
      </c>
      <c r="E178" s="8" t="n">
        <f aca="false">E177+D178</f>
        <v>0.999950630489787</v>
      </c>
      <c r="F178" s="7" t="str">
        <f aca="false">IF(E178&lt;=0.7,"A",IF(E178&lt;=0.9,"B","C"))</f>
        <v>C</v>
      </c>
      <c r="G178" s="7" t="n">
        <v>17</v>
      </c>
      <c r="H178" s="7" t="n">
        <v>50</v>
      </c>
    </row>
    <row r="179" customFormat="false" ht="15" hidden="false" customHeight="false" outlineLevel="0" collapsed="false">
      <c r="A179" s="7" t="n">
        <v>178</v>
      </c>
      <c r="B179" s="7" t="s">
        <v>400</v>
      </c>
      <c r="C179" s="7" t="n">
        <v>0.3</v>
      </c>
      <c r="D179" s="8" t="n">
        <f aca="false">C179/SUM($C$2:$C$182)</f>
        <v>1.23423775533294E-005</v>
      </c>
      <c r="E179" s="8" t="n">
        <f aca="false">E178+D179</f>
        <v>0.99996297286734</v>
      </c>
      <c r="F179" s="7" t="str">
        <f aca="false">IF(E179&lt;=0.7,"A",IF(E179&lt;=0.9,"B","C"))</f>
        <v>C</v>
      </c>
      <c r="G179" s="7" t="n">
        <v>115</v>
      </c>
      <c r="H179" s="7" t="n">
        <v>50</v>
      </c>
    </row>
    <row r="180" customFormat="false" ht="15" hidden="false" customHeight="false" outlineLevel="0" collapsed="false">
      <c r="A180" s="7" t="n">
        <v>179</v>
      </c>
      <c r="B180" s="7" t="s">
        <v>401</v>
      </c>
      <c r="C180" s="7" t="n">
        <v>0.3</v>
      </c>
      <c r="D180" s="8" t="n">
        <f aca="false">C180/SUM($C$2:$C$182)</f>
        <v>1.23423775533294E-005</v>
      </c>
      <c r="E180" s="8" t="n">
        <f aca="false">E179+D180</f>
        <v>0.999975315244893</v>
      </c>
      <c r="F180" s="7" t="str">
        <f aca="false">IF(E180&lt;=0.7,"A",IF(E180&lt;=0.9,"B","C"))</f>
        <v>C</v>
      </c>
      <c r="G180" s="7" t="n">
        <v>90</v>
      </c>
      <c r="H180" s="7" t="n">
        <v>50</v>
      </c>
    </row>
    <row r="181" customFormat="false" ht="15" hidden="false" customHeight="false" outlineLevel="0" collapsed="false">
      <c r="A181" s="7" t="n">
        <v>180</v>
      </c>
      <c r="B181" s="7" t="s">
        <v>402</v>
      </c>
      <c r="C181" s="7" t="n">
        <v>0.3</v>
      </c>
      <c r="D181" s="8" t="n">
        <f aca="false">C181/SUM($C$2:$C$182)</f>
        <v>1.23423775533294E-005</v>
      </c>
      <c r="E181" s="8" t="n">
        <f aca="false">E180+D181</f>
        <v>0.999987657622447</v>
      </c>
      <c r="F181" s="7" t="str">
        <f aca="false">IF(E181&lt;=0.7,"A",IF(E181&lt;=0.9,"B","C"))</f>
        <v>C</v>
      </c>
      <c r="G181" s="7" t="n">
        <v>1715</v>
      </c>
      <c r="H181" s="7" t="n">
        <v>50</v>
      </c>
    </row>
    <row r="182" customFormat="false" ht="15" hidden="false" customHeight="false" outlineLevel="0" collapsed="false">
      <c r="A182" s="7" t="n">
        <v>181</v>
      </c>
      <c r="B182" s="7" t="s">
        <v>403</v>
      </c>
      <c r="C182" s="7" t="n">
        <v>0.3</v>
      </c>
      <c r="D182" s="8" t="n">
        <f aca="false">C182/SUM($C$2:$C$182)</f>
        <v>1.23423775533294E-005</v>
      </c>
      <c r="E182" s="8" t="n">
        <f aca="false">E181+D182</f>
        <v>1</v>
      </c>
      <c r="F182" s="7" t="str">
        <f aca="false">IF(E182&lt;=0.7,"A",IF(E182&lt;=0.9,"B","C"))</f>
        <v>C</v>
      </c>
      <c r="G182" s="7" t="n">
        <v>331</v>
      </c>
      <c r="H182" s="7" t="n">
        <v>50</v>
      </c>
    </row>
    <row r="183" customFormat="false" ht="15" hidden="false" customHeight="false" outlineLevel="0" collapsed="false">
      <c r="A183" s="9" t="n">
        <v>182</v>
      </c>
      <c r="B183" s="9" t="s">
        <v>404</v>
      </c>
      <c r="C183" s="9" t="n">
        <v>0</v>
      </c>
      <c r="D183" s="9"/>
      <c r="E183" s="9"/>
      <c r="F183" s="9" t="s">
        <v>196</v>
      </c>
      <c r="G183" s="9" t="n">
        <v>96</v>
      </c>
      <c r="H183" s="9" t="n">
        <v>0</v>
      </c>
    </row>
    <row r="184" customFormat="false" ht="15" hidden="false" customHeight="false" outlineLevel="0" collapsed="false">
      <c r="A184" s="9" t="n">
        <v>183</v>
      </c>
      <c r="B184" s="9" t="s">
        <v>405</v>
      </c>
      <c r="C184" s="9" t="n">
        <v>0</v>
      </c>
      <c r="D184" s="9"/>
      <c r="E184" s="9"/>
      <c r="F184" s="9" t="s">
        <v>196</v>
      </c>
      <c r="G184" s="9" t="n">
        <v>10</v>
      </c>
      <c r="H184" s="9" t="n">
        <v>50</v>
      </c>
    </row>
    <row r="185" customFormat="false" ht="15" hidden="false" customHeight="false" outlineLevel="0" collapsed="false">
      <c r="A185" s="9" t="n">
        <v>184</v>
      </c>
      <c r="B185" s="9" t="s">
        <v>406</v>
      </c>
      <c r="C185" s="9" t="n">
        <v>0</v>
      </c>
      <c r="D185" s="9"/>
      <c r="E185" s="9"/>
      <c r="F185" s="9" t="s">
        <v>196</v>
      </c>
      <c r="G185" s="9" t="n">
        <v>59</v>
      </c>
      <c r="H185" s="9" t="n">
        <v>50</v>
      </c>
    </row>
    <row r="186" customFormat="false" ht="15" hidden="false" customHeight="false" outlineLevel="0" collapsed="false">
      <c r="A186" s="9" t="n">
        <v>185</v>
      </c>
      <c r="B186" s="9" t="s">
        <v>407</v>
      </c>
      <c r="C186" s="9" t="n">
        <v>0</v>
      </c>
      <c r="D186" s="9"/>
      <c r="E186" s="9"/>
      <c r="F186" s="9" t="s">
        <v>196</v>
      </c>
      <c r="G186" s="9" t="n">
        <v>0</v>
      </c>
      <c r="H186" s="9" t="n">
        <v>0</v>
      </c>
    </row>
    <row r="187" customFormat="false" ht="15" hidden="false" customHeight="false" outlineLevel="0" collapsed="false">
      <c r="A187" s="9" t="n">
        <v>186</v>
      </c>
      <c r="B187" s="9" t="s">
        <v>408</v>
      </c>
      <c r="C187" s="9" t="n">
        <v>0</v>
      </c>
      <c r="D187" s="9"/>
      <c r="E187" s="9"/>
      <c r="F187" s="9" t="s">
        <v>196</v>
      </c>
      <c r="G187" s="9" t="n">
        <v>240</v>
      </c>
      <c r="H187" s="9" t="n">
        <v>50</v>
      </c>
    </row>
    <row r="188" customFormat="false" ht="15" hidden="false" customHeight="false" outlineLevel="0" collapsed="false">
      <c r="A188" s="9" t="n">
        <v>187</v>
      </c>
      <c r="B188" s="9" t="s">
        <v>409</v>
      </c>
      <c r="C188" s="9" t="n">
        <v>0</v>
      </c>
      <c r="D188" s="9"/>
      <c r="E188" s="9"/>
      <c r="F188" s="9" t="s">
        <v>196</v>
      </c>
      <c r="G188" s="9" t="n">
        <v>0</v>
      </c>
      <c r="H188" s="9" t="n">
        <v>50</v>
      </c>
    </row>
    <row r="189" customFormat="false" ht="15" hidden="false" customHeight="false" outlineLevel="0" collapsed="false">
      <c r="A189" s="9" t="n">
        <v>188</v>
      </c>
      <c r="B189" s="9" t="s">
        <v>410</v>
      </c>
      <c r="C189" s="9" t="n">
        <v>0</v>
      </c>
      <c r="D189" s="9"/>
      <c r="E189" s="9"/>
      <c r="F189" s="9" t="s">
        <v>196</v>
      </c>
      <c r="G189" s="9" t="n">
        <v>34</v>
      </c>
      <c r="H189" s="9" t="n">
        <v>50</v>
      </c>
    </row>
    <row r="190" customFormat="false" ht="15" hidden="false" customHeight="false" outlineLevel="0" collapsed="false">
      <c r="A190" s="9" t="n">
        <v>189</v>
      </c>
      <c r="B190" s="9" t="s">
        <v>411</v>
      </c>
      <c r="C190" s="9" t="n">
        <v>0</v>
      </c>
      <c r="D190" s="9"/>
      <c r="E190" s="9"/>
      <c r="F190" s="9" t="s">
        <v>196</v>
      </c>
      <c r="G190" s="9" t="n">
        <v>103</v>
      </c>
      <c r="H190" s="9" t="n">
        <v>0</v>
      </c>
    </row>
    <row r="191" customFormat="false" ht="15" hidden="false" customHeight="false" outlineLevel="0" collapsed="false">
      <c r="A191" s="9" t="n">
        <v>190</v>
      </c>
      <c r="B191" s="9" t="s">
        <v>412</v>
      </c>
      <c r="C191" s="9" t="n">
        <v>0</v>
      </c>
      <c r="D191" s="9"/>
      <c r="E191" s="9"/>
      <c r="F191" s="9" t="s">
        <v>196</v>
      </c>
      <c r="G191" s="9" t="n">
        <v>49</v>
      </c>
      <c r="H191" s="9" t="n">
        <v>0</v>
      </c>
    </row>
    <row r="192" customFormat="false" ht="15" hidden="false" customHeight="false" outlineLevel="0" collapsed="false">
      <c r="A192" s="9" t="n">
        <v>191</v>
      </c>
      <c r="B192" s="9" t="s">
        <v>413</v>
      </c>
      <c r="C192" s="9" t="n">
        <v>0</v>
      </c>
      <c r="D192" s="9"/>
      <c r="E192" s="9"/>
      <c r="F192" s="9" t="s">
        <v>196</v>
      </c>
      <c r="G192" s="9" t="n">
        <v>7</v>
      </c>
      <c r="H192" s="9" t="n">
        <v>0</v>
      </c>
    </row>
    <row r="193" customFormat="false" ht="15" hidden="false" customHeight="false" outlineLevel="0" collapsed="false">
      <c r="A193" s="9" t="n">
        <v>192</v>
      </c>
      <c r="B193" s="9" t="s">
        <v>414</v>
      </c>
      <c r="C193" s="9" t="n">
        <v>0</v>
      </c>
      <c r="D193" s="9"/>
      <c r="E193" s="9"/>
      <c r="F193" s="9" t="s">
        <v>196</v>
      </c>
      <c r="G193" s="9" t="n">
        <v>34</v>
      </c>
      <c r="H193" s="9" t="n">
        <v>0</v>
      </c>
    </row>
    <row r="194" customFormat="false" ht="15" hidden="false" customHeight="false" outlineLevel="0" collapsed="false">
      <c r="A194" s="9" t="n">
        <v>193</v>
      </c>
      <c r="B194" s="9" t="s">
        <v>415</v>
      </c>
      <c r="C194" s="9" t="n">
        <v>0</v>
      </c>
      <c r="D194" s="9"/>
      <c r="E194" s="9"/>
      <c r="F194" s="9" t="s">
        <v>196</v>
      </c>
      <c r="G194" s="9" t="n">
        <v>44</v>
      </c>
      <c r="H194" s="9" t="n">
        <v>0</v>
      </c>
    </row>
    <row r="195" customFormat="false" ht="15" hidden="false" customHeight="false" outlineLevel="0" collapsed="false">
      <c r="A195" s="9" t="n">
        <v>194</v>
      </c>
      <c r="B195" s="9" t="s">
        <v>416</v>
      </c>
      <c r="C195" s="9" t="n">
        <v>0</v>
      </c>
      <c r="D195" s="9"/>
      <c r="E195" s="9"/>
      <c r="F195" s="9" t="s">
        <v>196</v>
      </c>
      <c r="G195" s="9" t="n">
        <v>7</v>
      </c>
      <c r="H195" s="9" t="n">
        <v>0</v>
      </c>
    </row>
    <row r="196" customFormat="false" ht="15" hidden="false" customHeight="false" outlineLevel="0" collapsed="false">
      <c r="A196" s="9" t="n">
        <v>195</v>
      </c>
      <c r="B196" s="9" t="s">
        <v>417</v>
      </c>
      <c r="C196" s="9" t="n">
        <v>0</v>
      </c>
      <c r="D196" s="9"/>
      <c r="E196" s="9"/>
      <c r="F196" s="9" t="s">
        <v>196</v>
      </c>
      <c r="G196" s="9" t="n">
        <v>11</v>
      </c>
      <c r="H196" s="9" t="n">
        <v>50</v>
      </c>
    </row>
    <row r="197" customFormat="false" ht="15" hidden="false" customHeight="false" outlineLevel="0" collapsed="false">
      <c r="A197" s="9" t="n">
        <v>196</v>
      </c>
      <c r="B197" s="9" t="s">
        <v>418</v>
      </c>
      <c r="C197" s="9" t="n">
        <v>0</v>
      </c>
      <c r="D197" s="9"/>
      <c r="E197" s="9"/>
      <c r="F197" s="9" t="s">
        <v>196</v>
      </c>
      <c r="G197" s="9" t="n">
        <v>120</v>
      </c>
      <c r="H197" s="9" t="n">
        <v>0</v>
      </c>
    </row>
    <row r="198" customFormat="false" ht="15" hidden="false" customHeight="false" outlineLevel="0" collapsed="false">
      <c r="A198" s="9" t="n">
        <v>197</v>
      </c>
      <c r="B198" s="9" t="s">
        <v>419</v>
      </c>
      <c r="C198" s="9" t="n">
        <v>0</v>
      </c>
      <c r="D198" s="9"/>
      <c r="E198" s="9"/>
      <c r="F198" s="9" t="s">
        <v>196</v>
      </c>
      <c r="G198" s="9" t="n">
        <v>300</v>
      </c>
      <c r="H198" s="9" t="n">
        <v>0</v>
      </c>
    </row>
    <row r="199" customFormat="false" ht="15" hidden="false" customHeight="false" outlineLevel="0" collapsed="false">
      <c r="A199" s="9" t="n">
        <v>198</v>
      </c>
      <c r="B199" s="9" t="s">
        <v>420</v>
      </c>
      <c r="C199" s="9" t="n">
        <v>0</v>
      </c>
      <c r="D199" s="9"/>
      <c r="E199" s="9"/>
      <c r="F199" s="9" t="s">
        <v>196</v>
      </c>
      <c r="G199" s="9" t="n">
        <v>73</v>
      </c>
      <c r="H199" s="9" t="n">
        <v>50</v>
      </c>
    </row>
    <row r="200" customFormat="false" ht="15" hidden="false" customHeight="false" outlineLevel="0" collapsed="false">
      <c r="A200" s="9" t="n">
        <v>199</v>
      </c>
      <c r="B200" s="9" t="s">
        <v>421</v>
      </c>
      <c r="C200" s="9" t="n">
        <v>0</v>
      </c>
      <c r="D200" s="9"/>
      <c r="E200" s="9"/>
      <c r="F200" s="9" t="s">
        <v>196</v>
      </c>
      <c r="G200" s="9" t="n">
        <v>30</v>
      </c>
      <c r="H200" s="9" t="n">
        <v>0</v>
      </c>
    </row>
    <row r="201" customFormat="false" ht="15" hidden="false" customHeight="false" outlineLevel="0" collapsed="false">
      <c r="A201" s="9" t="n">
        <v>200</v>
      </c>
      <c r="B201" s="9" t="s">
        <v>422</v>
      </c>
      <c r="C201" s="9" t="n">
        <v>0</v>
      </c>
      <c r="D201" s="9"/>
      <c r="E201" s="9"/>
      <c r="F201" s="9" t="s">
        <v>196</v>
      </c>
      <c r="G201" s="9" t="n">
        <v>8</v>
      </c>
      <c r="H201" s="9" t="n">
        <v>50</v>
      </c>
    </row>
    <row r="202" customFormat="false" ht="15" hidden="false" customHeight="false" outlineLevel="0" collapsed="false">
      <c r="A202" s="9" t="n">
        <v>201</v>
      </c>
      <c r="B202" s="9" t="s">
        <v>423</v>
      </c>
      <c r="C202" s="9" t="n">
        <v>0</v>
      </c>
      <c r="D202" s="9"/>
      <c r="E202" s="9"/>
      <c r="F202" s="9" t="s">
        <v>196</v>
      </c>
      <c r="G202" s="9" t="n">
        <v>1</v>
      </c>
      <c r="H202" s="9" t="n">
        <v>50</v>
      </c>
    </row>
    <row r="203" customFormat="false" ht="15" hidden="false" customHeight="false" outlineLevel="0" collapsed="false">
      <c r="A203" s="9" t="n">
        <v>202</v>
      </c>
      <c r="B203" s="9" t="s">
        <v>424</v>
      </c>
      <c r="C203" s="9" t="n">
        <v>0</v>
      </c>
      <c r="D203" s="9"/>
      <c r="E203" s="9"/>
      <c r="F203" s="9" t="s">
        <v>196</v>
      </c>
      <c r="G203" s="9" t="n">
        <v>1</v>
      </c>
      <c r="H203" s="9" t="n">
        <v>50</v>
      </c>
    </row>
    <row r="204" customFormat="false" ht="15" hidden="false" customHeight="false" outlineLevel="0" collapsed="false">
      <c r="A204" s="9" t="n">
        <v>203</v>
      </c>
      <c r="B204" s="9" t="s">
        <v>425</v>
      </c>
      <c r="C204" s="9" t="n">
        <v>0</v>
      </c>
      <c r="D204" s="9"/>
      <c r="E204" s="9"/>
      <c r="F204" s="9" t="s">
        <v>196</v>
      </c>
      <c r="G204" s="9" t="n">
        <v>1</v>
      </c>
      <c r="H204" s="9" t="n">
        <v>50</v>
      </c>
    </row>
    <row r="205" customFormat="false" ht="15" hidden="false" customHeight="false" outlineLevel="0" collapsed="false">
      <c r="A205" s="9" t="n">
        <v>204</v>
      </c>
      <c r="B205" s="9" t="s">
        <v>426</v>
      </c>
      <c r="C205" s="9" t="n">
        <v>0</v>
      </c>
      <c r="D205" s="9"/>
      <c r="E205" s="9"/>
      <c r="F205" s="9" t="s">
        <v>196</v>
      </c>
      <c r="G205" s="9" t="n">
        <v>3</v>
      </c>
      <c r="H205" s="9" t="n">
        <v>50</v>
      </c>
    </row>
    <row r="206" customFormat="false" ht="15" hidden="false" customHeight="false" outlineLevel="0" collapsed="false">
      <c r="A206" s="9" t="n">
        <v>205</v>
      </c>
      <c r="B206" s="9" t="s">
        <v>427</v>
      </c>
      <c r="C206" s="9" t="n">
        <v>0</v>
      </c>
      <c r="D206" s="9"/>
      <c r="E206" s="9"/>
      <c r="F206" s="9" t="s">
        <v>196</v>
      </c>
      <c r="G206" s="9" t="n">
        <v>1</v>
      </c>
      <c r="H206" s="9" t="n">
        <v>50</v>
      </c>
    </row>
    <row r="207" customFormat="false" ht="15" hidden="false" customHeight="false" outlineLevel="0" collapsed="false">
      <c r="A207" s="9" t="n">
        <v>206</v>
      </c>
      <c r="B207" s="9" t="s">
        <v>428</v>
      </c>
      <c r="C207" s="9" t="n">
        <v>0</v>
      </c>
      <c r="D207" s="9"/>
      <c r="E207" s="9"/>
      <c r="F207" s="9" t="s">
        <v>196</v>
      </c>
      <c r="G207" s="9" t="n">
        <v>0</v>
      </c>
      <c r="H207" s="9" t="n">
        <v>50</v>
      </c>
    </row>
    <row r="208" customFormat="false" ht="15" hidden="false" customHeight="false" outlineLevel="0" collapsed="false">
      <c r="A208" s="9" t="n">
        <v>207</v>
      </c>
      <c r="B208" s="9" t="s">
        <v>429</v>
      </c>
      <c r="C208" s="9" t="n">
        <v>0</v>
      </c>
      <c r="D208" s="9"/>
      <c r="E208" s="9"/>
      <c r="F208" s="9" t="s">
        <v>196</v>
      </c>
      <c r="G208" s="9" t="n">
        <v>7</v>
      </c>
      <c r="H208" s="9" t="n">
        <v>50</v>
      </c>
    </row>
    <row r="209" customFormat="false" ht="15" hidden="false" customHeight="false" outlineLevel="0" collapsed="false">
      <c r="A209" s="9" t="n">
        <v>208</v>
      </c>
      <c r="B209" s="9" t="s">
        <v>430</v>
      </c>
      <c r="C209" s="9" t="n">
        <v>0</v>
      </c>
      <c r="D209" s="9"/>
      <c r="E209" s="9"/>
      <c r="F209" s="9" t="s">
        <v>196</v>
      </c>
      <c r="G209" s="9" t="n">
        <v>6</v>
      </c>
      <c r="H209" s="9" t="n">
        <v>50</v>
      </c>
    </row>
    <row r="210" customFormat="false" ht="15" hidden="false" customHeight="false" outlineLevel="0" collapsed="false">
      <c r="A210" s="9" t="n">
        <v>209</v>
      </c>
      <c r="B210" s="9" t="s">
        <v>431</v>
      </c>
      <c r="C210" s="9" t="n">
        <v>0</v>
      </c>
      <c r="D210" s="9"/>
      <c r="E210" s="9"/>
      <c r="F210" s="9" t="s">
        <v>196</v>
      </c>
      <c r="G210" s="9" t="n">
        <v>25</v>
      </c>
      <c r="H210" s="9" t="n">
        <v>100</v>
      </c>
    </row>
    <row r="211" customFormat="false" ht="15" hidden="false" customHeight="false" outlineLevel="0" collapsed="false">
      <c r="A211" s="9" t="n">
        <v>210</v>
      </c>
      <c r="B211" s="9" t="s">
        <v>432</v>
      </c>
      <c r="C211" s="9" t="n">
        <v>0</v>
      </c>
      <c r="D211" s="9"/>
      <c r="E211" s="9"/>
      <c r="F211" s="9" t="s">
        <v>196</v>
      </c>
      <c r="G211" s="9" t="n">
        <v>499</v>
      </c>
      <c r="H211" s="9" t="n">
        <v>0</v>
      </c>
    </row>
    <row r="212" customFormat="false" ht="15" hidden="false" customHeight="false" outlineLevel="0" collapsed="false">
      <c r="A212" s="9" t="n">
        <v>211</v>
      </c>
      <c r="B212" s="9" t="s">
        <v>433</v>
      </c>
      <c r="C212" s="9" t="n">
        <v>0</v>
      </c>
      <c r="D212" s="9"/>
      <c r="E212" s="9"/>
      <c r="F212" s="9" t="s">
        <v>196</v>
      </c>
      <c r="G212" s="9" t="n">
        <v>58</v>
      </c>
      <c r="H212" s="9" t="n">
        <v>50</v>
      </c>
    </row>
    <row r="213" customFormat="false" ht="15" hidden="false" customHeight="false" outlineLevel="0" collapsed="false">
      <c r="A213" s="9" t="n">
        <v>212</v>
      </c>
      <c r="B213" s="9" t="s">
        <v>434</v>
      </c>
      <c r="C213" s="9" t="n">
        <v>0</v>
      </c>
      <c r="D213" s="9"/>
      <c r="E213" s="9"/>
      <c r="F213" s="9" t="s">
        <v>196</v>
      </c>
      <c r="G213" s="9" t="n">
        <v>24</v>
      </c>
      <c r="H213" s="9" t="n">
        <v>50</v>
      </c>
    </row>
    <row r="214" customFormat="false" ht="15" hidden="false" customHeight="false" outlineLevel="0" collapsed="false">
      <c r="A214" s="9" t="n">
        <v>213</v>
      </c>
      <c r="B214" s="9" t="s">
        <v>435</v>
      </c>
      <c r="C214" s="9" t="n">
        <v>0</v>
      </c>
      <c r="D214" s="9"/>
      <c r="E214" s="9"/>
      <c r="F214" s="9" t="s">
        <v>196</v>
      </c>
      <c r="G214" s="9" t="n">
        <v>98</v>
      </c>
      <c r="H214" s="9" t="n">
        <v>0</v>
      </c>
    </row>
    <row r="215" customFormat="false" ht="15" hidden="false" customHeight="false" outlineLevel="0" collapsed="false">
      <c r="A215" s="9" t="n">
        <v>214</v>
      </c>
      <c r="B215" s="9" t="s">
        <v>436</v>
      </c>
      <c r="C215" s="9" t="n">
        <v>0</v>
      </c>
      <c r="D215" s="9"/>
      <c r="E215" s="9"/>
      <c r="F215" s="9" t="s">
        <v>196</v>
      </c>
      <c r="G215" s="9" t="n">
        <v>1</v>
      </c>
      <c r="H215" s="9" t="n">
        <v>50</v>
      </c>
    </row>
    <row r="216" customFormat="false" ht="15" hidden="false" customHeight="false" outlineLevel="0" collapsed="false">
      <c r="A216" s="9" t="n">
        <v>215</v>
      </c>
      <c r="B216" s="9" t="s">
        <v>437</v>
      </c>
      <c r="C216" s="9" t="n">
        <v>0</v>
      </c>
      <c r="D216" s="9"/>
      <c r="E216" s="9"/>
      <c r="F216" s="9" t="s">
        <v>196</v>
      </c>
      <c r="G216" s="9" t="n">
        <v>100</v>
      </c>
      <c r="H216" s="9" t="n">
        <v>0</v>
      </c>
    </row>
    <row r="217" customFormat="false" ht="15" hidden="false" customHeight="false" outlineLevel="0" collapsed="false">
      <c r="A217" s="9" t="n">
        <v>216</v>
      </c>
      <c r="B217" s="9" t="s">
        <v>438</v>
      </c>
      <c r="C217" s="9" t="n">
        <v>0</v>
      </c>
      <c r="D217" s="9"/>
      <c r="E217" s="9"/>
      <c r="F217" s="9" t="s">
        <v>196</v>
      </c>
      <c r="G217" s="9" t="n">
        <v>100</v>
      </c>
      <c r="H217" s="9" t="n">
        <v>0</v>
      </c>
    </row>
    <row r="218" customFormat="false" ht="15" hidden="false" customHeight="false" outlineLevel="0" collapsed="false">
      <c r="A218" s="9" t="n">
        <v>217</v>
      </c>
      <c r="B218" s="9" t="s">
        <v>439</v>
      </c>
      <c r="C218" s="9" t="n">
        <v>0</v>
      </c>
      <c r="D218" s="9"/>
      <c r="E218" s="9"/>
      <c r="F218" s="9" t="s">
        <v>196</v>
      </c>
      <c r="G218" s="9" t="n">
        <v>50</v>
      </c>
      <c r="H218" s="9" t="n">
        <v>0</v>
      </c>
    </row>
    <row r="219" customFormat="false" ht="15" hidden="false" customHeight="false" outlineLevel="0" collapsed="false">
      <c r="A219" s="9" t="n">
        <v>218</v>
      </c>
      <c r="B219" s="9" t="s">
        <v>440</v>
      </c>
      <c r="C219" s="9" t="n">
        <v>0</v>
      </c>
      <c r="D219" s="9"/>
      <c r="E219" s="9"/>
      <c r="F219" s="9" t="s">
        <v>196</v>
      </c>
      <c r="G219" s="9" t="n">
        <v>520</v>
      </c>
      <c r="H219" s="9" t="n">
        <v>0</v>
      </c>
    </row>
    <row r="220" customFormat="false" ht="15" hidden="false" customHeight="false" outlineLevel="0" collapsed="false">
      <c r="A220" s="9" t="n">
        <v>219</v>
      </c>
      <c r="B220" s="9" t="s">
        <v>441</v>
      </c>
      <c r="C220" s="9" t="n">
        <v>0</v>
      </c>
      <c r="D220" s="9"/>
      <c r="E220" s="9"/>
      <c r="F220" s="9" t="s">
        <v>196</v>
      </c>
      <c r="G220" s="9" t="n">
        <v>51</v>
      </c>
      <c r="H220" s="9" t="n">
        <v>50</v>
      </c>
    </row>
    <row r="221" customFormat="false" ht="15" hidden="false" customHeight="false" outlineLevel="0" collapsed="false">
      <c r="A221" s="9" t="n">
        <v>220</v>
      </c>
      <c r="B221" s="9" t="s">
        <v>442</v>
      </c>
      <c r="C221" s="9" t="n">
        <v>0</v>
      </c>
      <c r="D221" s="9"/>
      <c r="E221" s="9"/>
      <c r="F221" s="9" t="s">
        <v>196</v>
      </c>
      <c r="G221" s="9" t="n">
        <v>100</v>
      </c>
      <c r="H221" s="9" t="n">
        <v>0</v>
      </c>
    </row>
    <row r="222" customFormat="false" ht="15" hidden="false" customHeight="false" outlineLevel="0" collapsed="false">
      <c r="A222" s="9" t="n">
        <v>221</v>
      </c>
      <c r="B222" s="9" t="s">
        <v>443</v>
      </c>
      <c r="C222" s="9" t="n">
        <v>0</v>
      </c>
      <c r="D222" s="9"/>
      <c r="E222" s="9"/>
      <c r="F222" s="9" t="s">
        <v>196</v>
      </c>
      <c r="G222" s="9" t="n">
        <v>30</v>
      </c>
      <c r="H222" s="9" t="n">
        <v>50</v>
      </c>
    </row>
    <row r="223" customFormat="false" ht="15" hidden="false" customHeight="false" outlineLevel="0" collapsed="false">
      <c r="A223" s="9" t="n">
        <v>222</v>
      </c>
      <c r="B223" s="9" t="s">
        <v>444</v>
      </c>
      <c r="C223" s="9" t="n">
        <v>0</v>
      </c>
      <c r="D223" s="9"/>
      <c r="E223" s="9"/>
      <c r="F223" s="9" t="s">
        <v>196</v>
      </c>
      <c r="G223" s="9" t="n">
        <v>233</v>
      </c>
      <c r="H223" s="9" t="n">
        <v>0</v>
      </c>
    </row>
    <row r="224" customFormat="false" ht="15" hidden="false" customHeight="false" outlineLevel="0" collapsed="false">
      <c r="A224" s="9" t="n">
        <v>223</v>
      </c>
      <c r="B224" s="9" t="s">
        <v>445</v>
      </c>
      <c r="C224" s="9" t="n">
        <v>0</v>
      </c>
      <c r="D224" s="9"/>
      <c r="E224" s="9"/>
      <c r="F224" s="9" t="s">
        <v>196</v>
      </c>
      <c r="G224" s="9" t="n">
        <v>50</v>
      </c>
      <c r="H224" s="9" t="n">
        <v>0</v>
      </c>
    </row>
    <row r="225" customFormat="false" ht="15" hidden="false" customHeight="false" outlineLevel="0" collapsed="false">
      <c r="A225" s="9" t="n">
        <v>224</v>
      </c>
      <c r="B225" s="9" t="s">
        <v>446</v>
      </c>
      <c r="C225" s="9" t="n">
        <v>0</v>
      </c>
      <c r="D225" s="9"/>
      <c r="E225" s="9"/>
      <c r="F225" s="9" t="s">
        <v>196</v>
      </c>
      <c r="G225" s="9" t="n">
        <v>1</v>
      </c>
      <c r="H225" s="9" t="n">
        <v>50</v>
      </c>
    </row>
  </sheetData>
  <conditionalFormatting sqref="F2:F225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447</v>
      </c>
      <c r="C2" s="7" t="n">
        <v>1117</v>
      </c>
      <c r="D2" s="8" t="n">
        <f aca="false">C2/SUM($C$2:$C$108)</f>
        <v>0.143093221967436</v>
      </c>
      <c r="E2" s="8" t="n">
        <f aca="false">D2</f>
        <v>0.143093221967436</v>
      </c>
      <c r="F2" s="7" t="str">
        <f aca="false">IF(E2&lt;=0.7,"A",IF(E2&lt;=0.9,"B","C"))</f>
        <v>A</v>
      </c>
      <c r="G2" s="7" t="n">
        <v>1800</v>
      </c>
      <c r="H2" s="7" t="n">
        <v>1500</v>
      </c>
    </row>
    <row r="3" customFormat="false" ht="15" hidden="false" customHeight="false" outlineLevel="0" collapsed="false">
      <c r="A3" s="7" t="n">
        <v>2</v>
      </c>
      <c r="B3" s="7" t="s">
        <v>448</v>
      </c>
      <c r="C3" s="7" t="n">
        <v>911.6</v>
      </c>
      <c r="D3" s="8" t="n">
        <f aca="false">C3/SUM($C$2:$C$108)</f>
        <v>0.116780466558204</v>
      </c>
      <c r="E3" s="8" t="n">
        <f aca="false">E2+D3</f>
        <v>0.25987368852564</v>
      </c>
      <c r="F3" s="7" t="str">
        <f aca="false">IF(E3&lt;=0.7,"A",IF(E3&lt;=0.9,"B","C"))</f>
        <v>A</v>
      </c>
      <c r="G3" s="7" t="n">
        <v>1150</v>
      </c>
      <c r="H3" s="7" t="n">
        <v>1500</v>
      </c>
    </row>
    <row r="4" customFormat="false" ht="15" hidden="false" customHeight="false" outlineLevel="0" collapsed="false">
      <c r="A4" s="7" t="n">
        <v>3</v>
      </c>
      <c r="B4" s="7" t="s">
        <v>449</v>
      </c>
      <c r="C4" s="7" t="n">
        <v>697.3</v>
      </c>
      <c r="D4" s="8" t="n">
        <f aca="false">C4/SUM($C$2:$C$108)</f>
        <v>0.0893275771512023</v>
      </c>
      <c r="E4" s="8" t="n">
        <f aca="false">E3+D4</f>
        <v>0.349201265676842</v>
      </c>
      <c r="F4" s="7" t="str">
        <f aca="false">IF(E4&lt;=0.7,"A",IF(E4&lt;=0.9,"B","C"))</f>
        <v>A</v>
      </c>
      <c r="G4" s="7" t="n">
        <v>2449</v>
      </c>
      <c r="H4" s="7" t="n">
        <v>1100</v>
      </c>
    </row>
    <row r="5" customFormat="false" ht="15" hidden="false" customHeight="false" outlineLevel="0" collapsed="false">
      <c r="A5" s="7" t="n">
        <v>4</v>
      </c>
      <c r="B5" s="7" t="s">
        <v>450</v>
      </c>
      <c r="C5" s="7" t="n">
        <v>562.2</v>
      </c>
      <c r="D5" s="8" t="n">
        <f aca="false">C5/SUM($C$2:$C$108)</f>
        <v>0.072020599274926</v>
      </c>
      <c r="E5" s="8" t="n">
        <f aca="false">E4+D5</f>
        <v>0.421221864951769</v>
      </c>
      <c r="F5" s="7" t="str">
        <f aca="false">IF(E5&lt;=0.7,"A",IF(E5&lt;=0.9,"B","C"))</f>
        <v>A</v>
      </c>
      <c r="G5" s="7" t="n">
        <v>264</v>
      </c>
      <c r="H5" s="7" t="n">
        <v>650</v>
      </c>
    </row>
    <row r="6" customFormat="false" ht="15" hidden="false" customHeight="false" outlineLevel="0" collapsed="false">
      <c r="A6" s="7" t="n">
        <v>5</v>
      </c>
      <c r="B6" s="7" t="s">
        <v>451</v>
      </c>
      <c r="C6" s="7" t="n">
        <v>464.1</v>
      </c>
      <c r="D6" s="8" t="n">
        <f aca="false">C6/SUM($C$2:$C$108)</f>
        <v>0.0594535043107314</v>
      </c>
      <c r="E6" s="8" t="n">
        <f aca="false">E5+D6</f>
        <v>0.4806753692625</v>
      </c>
      <c r="F6" s="7" t="str">
        <f aca="false">IF(E6&lt;=0.7,"A",IF(E6&lt;=0.9,"B","C"))</f>
        <v>A</v>
      </c>
      <c r="G6" s="7" t="n">
        <v>1589</v>
      </c>
      <c r="H6" s="7" t="n">
        <v>800</v>
      </c>
    </row>
    <row r="7" customFormat="false" ht="15" hidden="false" customHeight="false" outlineLevel="0" collapsed="false">
      <c r="A7" s="7" t="n">
        <v>6</v>
      </c>
      <c r="B7" s="7" t="s">
        <v>452</v>
      </c>
      <c r="C7" s="7" t="n">
        <v>416.5</v>
      </c>
      <c r="D7" s="8" t="n">
        <f aca="false">C7/SUM($C$2:$C$108)</f>
        <v>0.0533557089968102</v>
      </c>
      <c r="E7" s="8" t="n">
        <f aca="false">E6+D7</f>
        <v>0.53403107825931</v>
      </c>
      <c r="F7" s="7" t="str">
        <f aca="false">IF(E7&lt;=0.7,"A",IF(E7&lt;=0.9,"B","C"))</f>
        <v>A</v>
      </c>
      <c r="G7" s="7" t="n">
        <v>894</v>
      </c>
      <c r="H7" s="7" t="n">
        <v>1000</v>
      </c>
    </row>
    <row r="8" customFormat="false" ht="15" hidden="false" customHeight="false" outlineLevel="0" collapsed="false">
      <c r="A8" s="7" t="n">
        <v>7</v>
      </c>
      <c r="B8" s="7" t="s">
        <v>453</v>
      </c>
      <c r="C8" s="7" t="n">
        <v>354.1</v>
      </c>
      <c r="D8" s="8" t="n">
        <f aca="false">C8/SUM($C$2:$C$108)</f>
        <v>0.0453619605180564</v>
      </c>
      <c r="E8" s="8" t="n">
        <f aca="false">E7+D8</f>
        <v>0.579393038777367</v>
      </c>
      <c r="F8" s="7" t="str">
        <f aca="false">IF(E8&lt;=0.7,"A",IF(E8&lt;=0.9,"B","C"))</f>
        <v>A</v>
      </c>
      <c r="G8" s="7" t="n">
        <v>2564</v>
      </c>
      <c r="H8" s="7" t="n">
        <v>500</v>
      </c>
    </row>
    <row r="9" customFormat="false" ht="15" hidden="false" customHeight="false" outlineLevel="0" collapsed="false">
      <c r="A9" s="7" t="n">
        <v>8</v>
      </c>
      <c r="B9" s="7" t="s">
        <v>454</v>
      </c>
      <c r="C9" s="7" t="n">
        <v>318.6</v>
      </c>
      <c r="D9" s="8" t="n">
        <f aca="false">C9/SUM($C$2:$C$108)</f>
        <v>0.0408142350213295</v>
      </c>
      <c r="E9" s="8" t="n">
        <f aca="false">E8+D9</f>
        <v>0.620207273798696</v>
      </c>
      <c r="F9" s="7" t="str">
        <f aca="false">IF(E9&lt;=0.7,"A",IF(E9&lt;=0.9,"B","C"))</f>
        <v>A</v>
      </c>
      <c r="G9" s="7" t="n">
        <v>1576</v>
      </c>
      <c r="H9" s="7" t="n">
        <v>500</v>
      </c>
    </row>
    <row r="10" customFormat="false" ht="15" hidden="false" customHeight="false" outlineLevel="0" collapsed="false">
      <c r="A10" s="7" t="n">
        <v>9</v>
      </c>
      <c r="B10" s="7" t="s">
        <v>455</v>
      </c>
      <c r="C10" s="7" t="n">
        <v>291.1</v>
      </c>
      <c r="D10" s="8" t="n">
        <f aca="false">C10/SUM($C$2:$C$108)</f>
        <v>0.0372913490731607</v>
      </c>
      <c r="E10" s="8" t="n">
        <f aca="false">E9+D10</f>
        <v>0.657498622871857</v>
      </c>
      <c r="F10" s="7" t="str">
        <f aca="false">IF(E10&lt;=0.7,"A",IF(E10&lt;=0.9,"B","C"))</f>
        <v>A</v>
      </c>
      <c r="G10" s="7" t="n">
        <v>1027</v>
      </c>
      <c r="H10" s="7" t="n">
        <v>550</v>
      </c>
    </row>
    <row r="11" customFormat="false" ht="15" hidden="false" customHeight="false" outlineLevel="0" collapsed="false">
      <c r="A11" s="7" t="n">
        <v>10</v>
      </c>
      <c r="B11" s="7" t="s">
        <v>456</v>
      </c>
      <c r="C11" s="7" t="n">
        <v>255.9</v>
      </c>
      <c r="D11" s="8" t="n">
        <f aca="false">C11/SUM($C$2:$C$108)</f>
        <v>0.0327820550595047</v>
      </c>
      <c r="E11" s="8" t="n">
        <f aca="false">E10+D11</f>
        <v>0.690280677931362</v>
      </c>
      <c r="F11" s="7" t="str">
        <f aca="false">IF(E11&lt;=0.7,"A",IF(E11&lt;=0.9,"B","C"))</f>
        <v>A</v>
      </c>
      <c r="G11" s="7" t="n">
        <v>408</v>
      </c>
      <c r="H11" s="7" t="n">
        <v>300</v>
      </c>
    </row>
    <row r="12" customFormat="false" ht="15" hidden="false" customHeight="false" outlineLevel="0" collapsed="false">
      <c r="A12" s="7" t="n">
        <v>11</v>
      </c>
      <c r="B12" s="7" t="s">
        <v>457</v>
      </c>
      <c r="C12" s="7" t="n">
        <v>214.3</v>
      </c>
      <c r="D12" s="8" t="n">
        <f aca="false">C12/SUM($C$2:$C$108)</f>
        <v>0.0274528894070022</v>
      </c>
      <c r="E12" s="8" t="n">
        <f aca="false">E11+D12</f>
        <v>0.717733567338364</v>
      </c>
      <c r="F12" s="7" t="str">
        <f aca="false">IF(E12&lt;=0.7,"A",IF(E12&lt;=0.9,"B","C"))</f>
        <v>B</v>
      </c>
      <c r="G12" s="7" t="n">
        <v>946</v>
      </c>
      <c r="H12" s="7" t="n">
        <v>600</v>
      </c>
    </row>
    <row r="13" customFormat="false" ht="15" hidden="false" customHeight="false" outlineLevel="0" collapsed="false">
      <c r="A13" s="7" t="n">
        <v>12</v>
      </c>
      <c r="B13" s="7" t="s">
        <v>458</v>
      </c>
      <c r="C13" s="7" t="n">
        <v>192.2</v>
      </c>
      <c r="D13" s="8" t="n">
        <f aca="false">C13/SUM($C$2:$C$108)</f>
        <v>0.0246217701541102</v>
      </c>
      <c r="E13" s="8" t="n">
        <f aca="false">E12+D13</f>
        <v>0.742355337492474</v>
      </c>
      <c r="F13" s="7" t="str">
        <f aca="false">IF(E13&lt;=0.7,"A",IF(E13&lt;=0.9,"B","C"))</f>
        <v>B</v>
      </c>
      <c r="G13" s="7" t="n">
        <v>1263</v>
      </c>
      <c r="H13" s="7" t="n">
        <v>400</v>
      </c>
    </row>
    <row r="14" customFormat="false" ht="15" hidden="false" customHeight="false" outlineLevel="0" collapsed="false">
      <c r="A14" s="7" t="n">
        <v>13</v>
      </c>
      <c r="B14" s="7" t="s">
        <v>459</v>
      </c>
      <c r="C14" s="7" t="n">
        <v>166.2</v>
      </c>
      <c r="D14" s="8" t="n">
        <f aca="false">C14/SUM($C$2:$C$108)</f>
        <v>0.0212910416212962</v>
      </c>
      <c r="E14" s="8" t="n">
        <f aca="false">E13+D14</f>
        <v>0.76364637911377</v>
      </c>
      <c r="F14" s="7" t="str">
        <f aca="false">IF(E14&lt;=0.7,"A",IF(E14&lt;=0.9,"B","C"))</f>
        <v>B</v>
      </c>
      <c r="G14" s="7" t="n">
        <v>794</v>
      </c>
      <c r="H14" s="7" t="n">
        <v>500</v>
      </c>
    </row>
    <row r="15" customFormat="false" ht="15" hidden="false" customHeight="false" outlineLevel="0" collapsed="false">
      <c r="A15" s="7" t="n">
        <v>14</v>
      </c>
      <c r="B15" s="7" t="s">
        <v>460</v>
      </c>
      <c r="C15" s="7" t="n">
        <v>149.5</v>
      </c>
      <c r="D15" s="8" t="n">
        <f aca="false">C15/SUM($C$2:$C$108)</f>
        <v>0.019151689063681</v>
      </c>
      <c r="E15" s="8" t="n">
        <f aca="false">E14+D15</f>
        <v>0.782798068177451</v>
      </c>
      <c r="F15" s="7" t="str">
        <f aca="false">IF(E15&lt;=0.7,"A",IF(E15&lt;=0.9,"B","C"))</f>
        <v>B</v>
      </c>
      <c r="G15" s="7" t="n">
        <v>236</v>
      </c>
      <c r="H15" s="7" t="n">
        <v>200</v>
      </c>
    </row>
    <row r="16" customFormat="false" ht="15" hidden="false" customHeight="false" outlineLevel="0" collapsed="false">
      <c r="A16" s="7" t="n">
        <v>15</v>
      </c>
      <c r="B16" s="7" t="s">
        <v>461</v>
      </c>
      <c r="C16" s="7" t="n">
        <v>127.3</v>
      </c>
      <c r="D16" s="8" t="n">
        <f aca="false">C16/SUM($C$2:$C$108)</f>
        <v>0.016307759316432</v>
      </c>
      <c r="E16" s="8" t="n">
        <f aca="false">E15+D16</f>
        <v>0.799105827493883</v>
      </c>
      <c r="F16" s="7" t="str">
        <f aca="false">IF(E16&lt;=0.7,"A",IF(E16&lt;=0.9,"B","C"))</f>
        <v>B</v>
      </c>
      <c r="G16" s="7" t="n">
        <v>61</v>
      </c>
      <c r="H16" s="7" t="n">
        <v>100</v>
      </c>
    </row>
    <row r="17" customFormat="false" ht="15" hidden="false" customHeight="false" outlineLevel="0" collapsed="false">
      <c r="A17" s="7" t="n">
        <v>16</v>
      </c>
      <c r="B17" s="7" t="s">
        <v>462</v>
      </c>
      <c r="C17" s="7" t="n">
        <v>124.9</v>
      </c>
      <c r="D17" s="8" t="n">
        <f aca="false">C17/SUM($C$2:$C$108)</f>
        <v>0.0160003074518646</v>
      </c>
      <c r="E17" s="8" t="n">
        <f aca="false">E16+D17</f>
        <v>0.815106134945748</v>
      </c>
      <c r="F17" s="7" t="str">
        <f aca="false">IF(E17&lt;=0.7,"A",IF(E17&lt;=0.9,"B","C"))</f>
        <v>B</v>
      </c>
      <c r="G17" s="7" t="n">
        <v>24</v>
      </c>
      <c r="H17" s="7" t="n">
        <v>250</v>
      </c>
    </row>
    <row r="18" customFormat="false" ht="15" hidden="false" customHeight="false" outlineLevel="0" collapsed="false">
      <c r="A18" s="7" t="n">
        <v>17</v>
      </c>
      <c r="B18" s="7" t="s">
        <v>463</v>
      </c>
      <c r="C18" s="7" t="n">
        <v>82.2</v>
      </c>
      <c r="D18" s="8" t="n">
        <f aca="false">C18/SUM($C$2:$C$108)</f>
        <v>0.0105302263614353</v>
      </c>
      <c r="E18" s="8" t="n">
        <f aca="false">E17+D18</f>
        <v>0.825636361307183</v>
      </c>
      <c r="F18" s="7" t="str">
        <f aca="false">IF(E18&lt;=0.7,"A",IF(E18&lt;=0.9,"B","C"))</f>
        <v>B</v>
      </c>
      <c r="G18" s="7" t="n">
        <v>1229</v>
      </c>
      <c r="H18" s="7" t="n">
        <v>500</v>
      </c>
    </row>
    <row r="19" customFormat="false" ht="15" hidden="false" customHeight="false" outlineLevel="0" collapsed="false">
      <c r="A19" s="7" t="n">
        <v>18</v>
      </c>
      <c r="B19" s="7" t="s">
        <v>464</v>
      </c>
      <c r="C19" s="7" t="n">
        <v>73.5</v>
      </c>
      <c r="D19" s="8" t="n">
        <f aca="false">C19/SUM($C$2:$C$108)</f>
        <v>0.00941571335237827</v>
      </c>
      <c r="E19" s="8" t="n">
        <f aca="false">E18+D19</f>
        <v>0.835052074659561</v>
      </c>
      <c r="F19" s="7" t="str">
        <f aca="false">IF(E19&lt;=0.7,"A",IF(E19&lt;=0.9,"B","C"))</f>
        <v>B</v>
      </c>
      <c r="G19" s="7" t="n">
        <v>464</v>
      </c>
      <c r="H19" s="7" t="n">
        <v>200</v>
      </c>
    </row>
    <row r="20" customFormat="false" ht="15" hidden="false" customHeight="false" outlineLevel="0" collapsed="false">
      <c r="A20" s="7" t="n">
        <v>19</v>
      </c>
      <c r="B20" s="7" t="s">
        <v>465</v>
      </c>
      <c r="C20" s="7" t="n">
        <v>66.5</v>
      </c>
      <c r="D20" s="8" t="n">
        <f aca="false">C20/SUM($C$2:$C$108)</f>
        <v>0.00851897874738986</v>
      </c>
      <c r="E20" s="8" t="n">
        <f aca="false">E19+D20</f>
        <v>0.843571053406951</v>
      </c>
      <c r="F20" s="7" t="str">
        <f aca="false">IF(E20&lt;=0.7,"A",IF(E20&lt;=0.9,"B","C"))</f>
        <v>B</v>
      </c>
      <c r="G20" s="7" t="n">
        <v>456</v>
      </c>
      <c r="H20" s="7" t="n">
        <v>150</v>
      </c>
    </row>
    <row r="21" customFormat="false" ht="15" hidden="false" customHeight="false" outlineLevel="0" collapsed="false">
      <c r="A21" s="7" t="n">
        <v>20</v>
      </c>
      <c r="B21" s="7" t="s">
        <v>466</v>
      </c>
      <c r="C21" s="7" t="n">
        <v>65.7</v>
      </c>
      <c r="D21" s="8" t="n">
        <f aca="false">C21/SUM($C$2:$C$108)</f>
        <v>0.00841649479253404</v>
      </c>
      <c r="E21" s="8" t="n">
        <f aca="false">E20+D21</f>
        <v>0.851987548199485</v>
      </c>
      <c r="F21" s="7" t="str">
        <f aca="false">IF(E21&lt;=0.7,"A",IF(E21&lt;=0.9,"B","C"))</f>
        <v>B</v>
      </c>
      <c r="G21" s="7" t="n">
        <v>154</v>
      </c>
      <c r="H21" s="7" t="n">
        <v>100</v>
      </c>
    </row>
    <row r="22" customFormat="false" ht="15" hidden="false" customHeight="false" outlineLevel="0" collapsed="false">
      <c r="A22" s="7" t="n">
        <v>21</v>
      </c>
      <c r="B22" s="7" t="s">
        <v>467</v>
      </c>
      <c r="C22" s="7" t="n">
        <v>60.8</v>
      </c>
      <c r="D22" s="8" t="n">
        <f aca="false">C22/SUM($C$2:$C$108)</f>
        <v>0.00778878056904216</v>
      </c>
      <c r="E22" s="8" t="n">
        <f aca="false">E21+D22</f>
        <v>0.859776328768527</v>
      </c>
      <c r="F22" s="7" t="str">
        <f aca="false">IF(E22&lt;=0.7,"A",IF(E22&lt;=0.9,"B","C"))</f>
        <v>B</v>
      </c>
      <c r="G22" s="7" t="n">
        <v>14</v>
      </c>
      <c r="H22" s="7" t="n">
        <v>200</v>
      </c>
    </row>
    <row r="23" customFormat="false" ht="15" hidden="false" customHeight="false" outlineLevel="0" collapsed="false">
      <c r="A23" s="7" t="n">
        <v>22</v>
      </c>
      <c r="B23" s="7" t="s">
        <v>468</v>
      </c>
      <c r="C23" s="7" t="n">
        <v>60.5</v>
      </c>
      <c r="D23" s="8" t="n">
        <f aca="false">C23/SUM($C$2:$C$108)</f>
        <v>0.00775034908597123</v>
      </c>
      <c r="E23" s="8" t="n">
        <f aca="false">E22+D23</f>
        <v>0.867526677854498</v>
      </c>
      <c r="F23" s="7" t="str">
        <f aca="false">IF(E23&lt;=0.7,"A",IF(E23&lt;=0.9,"B","C"))</f>
        <v>B</v>
      </c>
      <c r="G23" s="7" t="n">
        <v>864</v>
      </c>
      <c r="H23" s="7" t="n">
        <v>600</v>
      </c>
    </row>
    <row r="24" customFormat="false" ht="15" hidden="false" customHeight="false" outlineLevel="0" collapsed="false">
      <c r="A24" s="7" t="n">
        <v>23</v>
      </c>
      <c r="B24" s="7" t="s">
        <v>469</v>
      </c>
      <c r="C24" s="7" t="n">
        <v>54.3</v>
      </c>
      <c r="D24" s="8" t="n">
        <f aca="false">C24/SUM($C$2:$C$108)</f>
        <v>0.00695609843583864</v>
      </c>
      <c r="E24" s="8" t="n">
        <f aca="false">E23+D24</f>
        <v>0.874482776290337</v>
      </c>
      <c r="F24" s="7" t="str">
        <f aca="false">IF(E24&lt;=0.7,"A",IF(E24&lt;=0.9,"B","C"))</f>
        <v>B</v>
      </c>
      <c r="G24" s="7" t="n">
        <v>4</v>
      </c>
      <c r="H24" s="7" t="n">
        <v>100</v>
      </c>
    </row>
    <row r="25" customFormat="false" ht="15" hidden="false" customHeight="false" outlineLevel="0" collapsed="false">
      <c r="A25" s="7" t="n">
        <v>24</v>
      </c>
      <c r="B25" s="7" t="s">
        <v>470</v>
      </c>
      <c r="C25" s="7" t="n">
        <v>50.3</v>
      </c>
      <c r="D25" s="8" t="n">
        <f aca="false">C25/SUM($C$2:$C$108)</f>
        <v>0.00644367866155955</v>
      </c>
      <c r="E25" s="8" t="n">
        <f aca="false">E24+D25</f>
        <v>0.880926454951897</v>
      </c>
      <c r="F25" s="7" t="str">
        <f aca="false">IF(E25&lt;=0.7,"A",IF(E25&lt;=0.9,"B","C"))</f>
        <v>B</v>
      </c>
      <c r="G25" s="7" t="n">
        <v>158</v>
      </c>
      <c r="H25" s="7" t="n">
        <v>100</v>
      </c>
    </row>
    <row r="26" customFormat="false" ht="15" hidden="false" customHeight="false" outlineLevel="0" collapsed="false">
      <c r="A26" s="7" t="n">
        <v>25</v>
      </c>
      <c r="B26" s="7" t="s">
        <v>471</v>
      </c>
      <c r="C26" s="7" t="n">
        <v>42.4</v>
      </c>
      <c r="D26" s="8" t="n">
        <f aca="false">C26/SUM($C$2:$C$108)</f>
        <v>0.00543164960735835</v>
      </c>
      <c r="E26" s="8" t="n">
        <f aca="false">E25+D26</f>
        <v>0.886358104559255</v>
      </c>
      <c r="F26" s="7" t="str">
        <f aca="false">IF(E26&lt;=0.7,"A",IF(E26&lt;=0.9,"B","C"))</f>
        <v>B</v>
      </c>
      <c r="G26" s="7" t="n">
        <v>10</v>
      </c>
      <c r="H26" s="7" t="n">
        <v>100</v>
      </c>
    </row>
    <row r="27" customFormat="false" ht="15" hidden="false" customHeight="false" outlineLevel="0" collapsed="false">
      <c r="A27" s="7" t="n">
        <v>26</v>
      </c>
      <c r="B27" s="7" t="s">
        <v>472</v>
      </c>
      <c r="C27" s="7" t="n">
        <v>41.9</v>
      </c>
      <c r="D27" s="8" t="n">
        <f aca="false">C27/SUM($C$2:$C$108)</f>
        <v>0.00536759713557346</v>
      </c>
      <c r="E27" s="8" t="n">
        <f aca="false">E26+D27</f>
        <v>0.891725701694829</v>
      </c>
      <c r="F27" s="7" t="str">
        <f aca="false">IF(E27&lt;=0.7,"A",IF(E27&lt;=0.9,"B","C"))</f>
        <v>B</v>
      </c>
      <c r="G27" s="7" t="n">
        <v>19</v>
      </c>
      <c r="H27" s="7" t="n">
        <v>250</v>
      </c>
    </row>
    <row r="28" customFormat="false" ht="15" hidden="false" customHeight="false" outlineLevel="0" collapsed="false">
      <c r="A28" s="7" t="n">
        <v>27</v>
      </c>
      <c r="B28" s="7" t="s">
        <v>473</v>
      </c>
      <c r="C28" s="7" t="n">
        <v>40.3</v>
      </c>
      <c r="D28" s="8" t="n">
        <f aca="false">C28/SUM($C$2:$C$108)</f>
        <v>0.00516262922586183</v>
      </c>
      <c r="E28" s="8" t="n">
        <f aca="false">E27+D28</f>
        <v>0.89688833092069</v>
      </c>
      <c r="F28" s="7" t="str">
        <f aca="false">IF(E28&lt;=0.7,"A",IF(E28&lt;=0.9,"B","C"))</f>
        <v>B</v>
      </c>
      <c r="G28" s="7" t="n">
        <v>463</v>
      </c>
      <c r="H28" s="7" t="n">
        <v>100</v>
      </c>
    </row>
    <row r="29" customFormat="false" ht="15" hidden="false" customHeight="false" outlineLevel="0" collapsed="false">
      <c r="A29" s="7" t="n">
        <v>28</v>
      </c>
      <c r="B29" s="7" t="s">
        <v>474</v>
      </c>
      <c r="C29" s="7" t="n">
        <v>37.3</v>
      </c>
      <c r="D29" s="8" t="n">
        <f aca="false">C29/SUM($C$2:$C$108)</f>
        <v>0.00477831439515251</v>
      </c>
      <c r="E29" s="8" t="n">
        <f aca="false">E28+D29</f>
        <v>0.901666645315843</v>
      </c>
      <c r="F29" s="7" t="str">
        <f aca="false">IF(E29&lt;=0.7,"A",IF(E29&lt;=0.9,"B","C"))</f>
        <v>C</v>
      </c>
      <c r="G29" s="7" t="n">
        <v>246</v>
      </c>
      <c r="H29" s="7" t="n">
        <v>100</v>
      </c>
    </row>
    <row r="30" customFormat="false" ht="15" hidden="false" customHeight="false" outlineLevel="0" collapsed="false">
      <c r="A30" s="7" t="n">
        <v>29</v>
      </c>
      <c r="B30" s="7" t="s">
        <v>475</v>
      </c>
      <c r="C30" s="7" t="n">
        <v>37</v>
      </c>
      <c r="D30" s="8" t="n">
        <f aca="false">C30/SUM($C$2:$C$108)</f>
        <v>0.00473988291208158</v>
      </c>
      <c r="E30" s="8" t="n">
        <f aca="false">E29+D30</f>
        <v>0.906406528227924</v>
      </c>
      <c r="F30" s="7" t="str">
        <f aca="false">IF(E30&lt;=0.7,"A",IF(E30&lt;=0.9,"B","C"))</f>
        <v>C</v>
      </c>
      <c r="G30" s="7" t="n">
        <v>44</v>
      </c>
      <c r="H30" s="7" t="n">
        <v>100</v>
      </c>
    </row>
    <row r="31" customFormat="false" ht="15" hidden="false" customHeight="false" outlineLevel="0" collapsed="false">
      <c r="A31" s="7" t="n">
        <v>30</v>
      </c>
      <c r="B31" s="7" t="s">
        <v>476</v>
      </c>
      <c r="C31" s="7" t="n">
        <v>36.8</v>
      </c>
      <c r="D31" s="8" t="n">
        <f aca="false">C31/SUM($C$2:$C$108)</f>
        <v>0.00471426192336762</v>
      </c>
      <c r="E31" s="8" t="n">
        <f aca="false">E30+D31</f>
        <v>0.911120790151292</v>
      </c>
      <c r="F31" s="7" t="str">
        <f aca="false">IF(E31&lt;=0.7,"A",IF(E31&lt;=0.9,"B","C"))</f>
        <v>C</v>
      </c>
      <c r="G31" s="7" t="n">
        <v>494</v>
      </c>
      <c r="H31" s="7" t="n">
        <v>150</v>
      </c>
    </row>
    <row r="32" customFormat="false" ht="15" hidden="false" customHeight="false" outlineLevel="0" collapsed="false">
      <c r="A32" s="7" t="n">
        <v>31</v>
      </c>
      <c r="B32" s="7" t="s">
        <v>477</v>
      </c>
      <c r="C32" s="7" t="n">
        <v>33.8</v>
      </c>
      <c r="D32" s="8" t="n">
        <f aca="false">C32/SUM($C$2:$C$108)</f>
        <v>0.00432994709265831</v>
      </c>
      <c r="E32" s="8" t="n">
        <f aca="false">E31+D32</f>
        <v>0.91545073724395</v>
      </c>
      <c r="F32" s="7" t="str">
        <f aca="false">IF(E32&lt;=0.7,"A",IF(E32&lt;=0.9,"B","C"))</f>
        <v>C</v>
      </c>
      <c r="G32" s="7" t="n">
        <v>72</v>
      </c>
      <c r="H32" s="7" t="n">
        <v>100</v>
      </c>
    </row>
    <row r="33" customFormat="false" ht="15" hidden="false" customHeight="false" outlineLevel="0" collapsed="false">
      <c r="A33" s="7" t="n">
        <v>32</v>
      </c>
      <c r="B33" s="7" t="s">
        <v>478</v>
      </c>
      <c r="C33" s="7" t="n">
        <v>33.5</v>
      </c>
      <c r="D33" s="8" t="n">
        <f aca="false">C33/SUM($C$2:$C$108)</f>
        <v>0.00429151560958737</v>
      </c>
      <c r="E33" s="8" t="n">
        <f aca="false">E32+D33</f>
        <v>0.919742252853538</v>
      </c>
      <c r="F33" s="7" t="str">
        <f aca="false">IF(E33&lt;=0.7,"A",IF(E33&lt;=0.9,"B","C"))</f>
        <v>C</v>
      </c>
      <c r="G33" s="7" t="n">
        <v>43</v>
      </c>
      <c r="H33" s="7" t="n">
        <v>100</v>
      </c>
    </row>
    <row r="34" customFormat="false" ht="15" hidden="false" customHeight="false" outlineLevel="0" collapsed="false">
      <c r="A34" s="7" t="n">
        <v>33</v>
      </c>
      <c r="B34" s="7" t="s">
        <v>479</v>
      </c>
      <c r="C34" s="7" t="n">
        <v>32.7</v>
      </c>
      <c r="D34" s="8" t="n">
        <f aca="false">C34/SUM($C$2:$C$108)</f>
        <v>0.00418903165473156</v>
      </c>
      <c r="E34" s="8" t="n">
        <f aca="false">E33+D34</f>
        <v>0.923931284508269</v>
      </c>
      <c r="F34" s="7" t="str">
        <f aca="false">IF(E34&lt;=0.7,"A",IF(E34&lt;=0.9,"B","C"))</f>
        <v>C</v>
      </c>
      <c r="G34" s="7" t="n">
        <v>71</v>
      </c>
      <c r="H34" s="7" t="n">
        <v>50</v>
      </c>
    </row>
    <row r="35" customFormat="false" ht="15" hidden="false" customHeight="false" outlineLevel="0" collapsed="false">
      <c r="A35" s="7" t="n">
        <v>34</v>
      </c>
      <c r="B35" s="7" t="s">
        <v>480</v>
      </c>
      <c r="C35" s="7" t="n">
        <v>28.1</v>
      </c>
      <c r="D35" s="8" t="n">
        <f aca="false">C35/SUM($C$2:$C$108)</f>
        <v>0.0035997489143106</v>
      </c>
      <c r="E35" s="8" t="n">
        <f aca="false">E34+D35</f>
        <v>0.92753103342258</v>
      </c>
      <c r="F35" s="7" t="str">
        <f aca="false">IF(E35&lt;=0.7,"A",IF(E35&lt;=0.9,"B","C"))</f>
        <v>C</v>
      </c>
      <c r="G35" s="7" t="n">
        <v>72</v>
      </c>
      <c r="H35" s="7" t="n">
        <v>150</v>
      </c>
    </row>
    <row r="36" customFormat="false" ht="15" hidden="false" customHeight="false" outlineLevel="0" collapsed="false">
      <c r="A36" s="7" t="n">
        <v>35</v>
      </c>
      <c r="B36" s="7" t="s">
        <v>481</v>
      </c>
      <c r="C36" s="7" t="n">
        <v>27.6</v>
      </c>
      <c r="D36" s="8" t="n">
        <f aca="false">C36/SUM($C$2:$C$108)</f>
        <v>0.00353569644252572</v>
      </c>
      <c r="E36" s="8" t="n">
        <f aca="false">E35+D36</f>
        <v>0.931066729865106</v>
      </c>
      <c r="F36" s="7" t="str">
        <f aca="false">IF(E36&lt;=0.7,"A",IF(E36&lt;=0.9,"B","C"))</f>
        <v>C</v>
      </c>
      <c r="G36" s="7" t="n">
        <v>205</v>
      </c>
      <c r="H36" s="7" t="n">
        <v>50</v>
      </c>
    </row>
    <row r="37" customFormat="false" ht="15" hidden="false" customHeight="false" outlineLevel="0" collapsed="false">
      <c r="A37" s="7" t="n">
        <v>36</v>
      </c>
      <c r="B37" s="7" t="s">
        <v>482</v>
      </c>
      <c r="C37" s="7" t="n">
        <v>26.8</v>
      </c>
      <c r="D37" s="8" t="n">
        <f aca="false">C37/SUM($C$2:$C$108)</f>
        <v>0.0034332124876699</v>
      </c>
      <c r="E37" s="8" t="n">
        <f aca="false">E36+D37</f>
        <v>0.934499942352776</v>
      </c>
      <c r="F37" s="7" t="str">
        <f aca="false">IF(E37&lt;=0.7,"A",IF(E37&lt;=0.9,"B","C"))</f>
        <v>C</v>
      </c>
      <c r="G37" s="7" t="n">
        <v>99</v>
      </c>
      <c r="H37" s="7" t="n">
        <v>50</v>
      </c>
    </row>
    <row r="38" customFormat="false" ht="15" hidden="false" customHeight="false" outlineLevel="0" collapsed="false">
      <c r="A38" s="7" t="n">
        <v>37</v>
      </c>
      <c r="B38" s="7" t="s">
        <v>483</v>
      </c>
      <c r="C38" s="7" t="n">
        <v>26.5</v>
      </c>
      <c r="D38" s="8" t="n">
        <f aca="false">C38/SUM($C$2:$C$108)</f>
        <v>0.00339478100459897</v>
      </c>
      <c r="E38" s="8" t="n">
        <f aca="false">E37+D38</f>
        <v>0.937894723357375</v>
      </c>
      <c r="F38" s="7" t="str">
        <f aca="false">IF(E38&lt;=0.7,"A",IF(E38&lt;=0.9,"B","C"))</f>
        <v>C</v>
      </c>
      <c r="G38" s="7" t="n">
        <v>209</v>
      </c>
      <c r="H38" s="7" t="n">
        <v>100</v>
      </c>
    </row>
    <row r="39" customFormat="false" ht="15" hidden="false" customHeight="false" outlineLevel="0" collapsed="false">
      <c r="A39" s="7" t="n">
        <v>38</v>
      </c>
      <c r="B39" s="7" t="s">
        <v>484</v>
      </c>
      <c r="C39" s="7" t="n">
        <v>25.1</v>
      </c>
      <c r="D39" s="8" t="n">
        <f aca="false">C39/SUM($C$2:$C$108)</f>
        <v>0.00321543408360129</v>
      </c>
      <c r="E39" s="8" t="n">
        <f aca="false">E38+D39</f>
        <v>0.941110157440976</v>
      </c>
      <c r="F39" s="7" t="str">
        <f aca="false">IF(E39&lt;=0.7,"A",IF(E39&lt;=0.9,"B","C"))</f>
        <v>C</v>
      </c>
      <c r="G39" s="7" t="n">
        <v>6</v>
      </c>
      <c r="H39" s="7" t="n">
        <v>50</v>
      </c>
    </row>
    <row r="40" customFormat="false" ht="15" hidden="false" customHeight="false" outlineLevel="0" collapsed="false">
      <c r="A40" s="7" t="n">
        <v>39</v>
      </c>
      <c r="B40" s="7" t="s">
        <v>485</v>
      </c>
      <c r="C40" s="7" t="n">
        <v>24.6</v>
      </c>
      <c r="D40" s="8" t="n">
        <f aca="false">C40/SUM($C$2:$C$108)</f>
        <v>0.0031513816118164</v>
      </c>
      <c r="E40" s="8" t="n">
        <f aca="false">E39+D40</f>
        <v>0.944261539052792</v>
      </c>
      <c r="F40" s="7" t="str">
        <f aca="false">IF(E40&lt;=0.7,"A",IF(E40&lt;=0.9,"B","C"))</f>
        <v>C</v>
      </c>
      <c r="G40" s="7" t="n">
        <v>41</v>
      </c>
      <c r="H40" s="7" t="n">
        <v>50</v>
      </c>
    </row>
    <row r="41" customFormat="false" ht="15" hidden="false" customHeight="false" outlineLevel="0" collapsed="false">
      <c r="A41" s="7" t="n">
        <v>40</v>
      </c>
      <c r="B41" s="7" t="s">
        <v>486</v>
      </c>
      <c r="C41" s="7" t="n">
        <v>23.2</v>
      </c>
      <c r="D41" s="8" t="n">
        <f aca="false">C41/SUM($C$2:$C$108)</f>
        <v>0.00297203469081872</v>
      </c>
      <c r="E41" s="8" t="n">
        <f aca="false">E40+D41</f>
        <v>0.947233573743611</v>
      </c>
      <c r="F41" s="7" t="str">
        <f aca="false">IF(E41&lt;=0.7,"A",IF(E41&lt;=0.9,"B","C"))</f>
        <v>C</v>
      </c>
      <c r="G41" s="7" t="n">
        <v>74</v>
      </c>
      <c r="H41" s="7" t="n">
        <v>50</v>
      </c>
    </row>
    <row r="42" customFormat="false" ht="15" hidden="false" customHeight="false" outlineLevel="0" collapsed="false">
      <c r="A42" s="7" t="n">
        <v>41</v>
      </c>
      <c r="B42" s="7" t="s">
        <v>487</v>
      </c>
      <c r="C42" s="7" t="n">
        <v>23</v>
      </c>
      <c r="D42" s="8" t="n">
        <f aca="false">C42/SUM($C$2:$C$108)</f>
        <v>0.00294641370210476</v>
      </c>
      <c r="E42" s="8" t="n">
        <f aca="false">E41+D42</f>
        <v>0.950179987445716</v>
      </c>
      <c r="F42" s="7" t="str">
        <f aca="false">IF(E42&lt;=0.7,"A",IF(E42&lt;=0.9,"B","C"))</f>
        <v>C</v>
      </c>
      <c r="G42" s="7" t="n">
        <v>229</v>
      </c>
      <c r="H42" s="7" t="n">
        <v>50</v>
      </c>
    </row>
    <row r="43" customFormat="false" ht="15" hidden="false" customHeight="false" outlineLevel="0" collapsed="false">
      <c r="A43" s="7" t="n">
        <v>42</v>
      </c>
      <c r="B43" s="7" t="s">
        <v>488</v>
      </c>
      <c r="C43" s="7" t="n">
        <v>20.8</v>
      </c>
      <c r="D43" s="8" t="n">
        <f aca="false">C43/SUM($C$2:$C$108)</f>
        <v>0.00266458282625127</v>
      </c>
      <c r="E43" s="8" t="n">
        <f aca="false">E42+D43</f>
        <v>0.952844570271967</v>
      </c>
      <c r="F43" s="7" t="str">
        <f aca="false">IF(E43&lt;=0.7,"A",IF(E43&lt;=0.9,"B","C"))</f>
        <v>C</v>
      </c>
      <c r="G43" s="7" t="n">
        <v>271</v>
      </c>
      <c r="H43" s="7" t="n">
        <v>50</v>
      </c>
    </row>
    <row r="44" customFormat="false" ht="15" hidden="false" customHeight="false" outlineLevel="0" collapsed="false">
      <c r="A44" s="7" t="n">
        <v>43</v>
      </c>
      <c r="B44" s="7" t="s">
        <v>489</v>
      </c>
      <c r="C44" s="7" t="n">
        <v>20.5</v>
      </c>
      <c r="D44" s="8" t="n">
        <f aca="false">C44/SUM($C$2:$C$108)</f>
        <v>0.00262615134318033</v>
      </c>
      <c r="E44" s="8" t="n">
        <f aca="false">E43+D44</f>
        <v>0.955470721615148</v>
      </c>
      <c r="F44" s="7" t="str">
        <f aca="false">IF(E44&lt;=0.7,"A",IF(E44&lt;=0.9,"B","C"))</f>
        <v>C</v>
      </c>
      <c r="G44" s="7" t="n">
        <v>11</v>
      </c>
      <c r="H44" s="7" t="n">
        <v>200</v>
      </c>
    </row>
    <row r="45" customFormat="false" ht="15" hidden="false" customHeight="false" outlineLevel="0" collapsed="false">
      <c r="A45" s="7" t="n">
        <v>44</v>
      </c>
      <c r="B45" s="7" t="s">
        <v>490</v>
      </c>
      <c r="C45" s="7" t="n">
        <v>18.9</v>
      </c>
      <c r="D45" s="8" t="n">
        <f aca="false">C45/SUM($C$2:$C$108)</f>
        <v>0.0024211834334687</v>
      </c>
      <c r="E45" s="8" t="n">
        <f aca="false">E44+D45</f>
        <v>0.957891905048616</v>
      </c>
      <c r="F45" s="7" t="str">
        <f aca="false">IF(E45&lt;=0.7,"A",IF(E45&lt;=0.9,"B","C"))</f>
        <v>C</v>
      </c>
      <c r="G45" s="7" t="n">
        <v>15</v>
      </c>
      <c r="H45" s="7" t="n">
        <v>50</v>
      </c>
    </row>
    <row r="46" customFormat="false" ht="15" hidden="false" customHeight="false" outlineLevel="0" collapsed="false">
      <c r="A46" s="7" t="n">
        <v>45</v>
      </c>
      <c r="B46" s="7" t="s">
        <v>491</v>
      </c>
      <c r="C46" s="7" t="n">
        <v>18.1</v>
      </c>
      <c r="D46" s="8" t="n">
        <f aca="false">C46/SUM($C$2:$C$108)</f>
        <v>0.00231869947861288</v>
      </c>
      <c r="E46" s="8" t="n">
        <f aca="false">E45+D46</f>
        <v>0.960210604527229</v>
      </c>
      <c r="F46" s="7" t="str">
        <f aca="false">IF(E46&lt;=0.7,"A",IF(E46&lt;=0.9,"B","C"))</f>
        <v>C</v>
      </c>
      <c r="G46" s="7" t="n">
        <v>228</v>
      </c>
      <c r="H46" s="7" t="n">
        <v>50</v>
      </c>
    </row>
    <row r="47" customFormat="false" ht="15" hidden="false" customHeight="false" outlineLevel="0" collapsed="false">
      <c r="A47" s="7" t="n">
        <v>46</v>
      </c>
      <c r="B47" s="7" t="s">
        <v>492</v>
      </c>
      <c r="C47" s="7" t="n">
        <v>17.3</v>
      </c>
      <c r="D47" s="8" t="n">
        <f aca="false">C47/SUM($C$2:$C$108)</f>
        <v>0.00221621552375706</v>
      </c>
      <c r="E47" s="8" t="n">
        <f aca="false">E46+D47</f>
        <v>0.962426820050986</v>
      </c>
      <c r="F47" s="7" t="str">
        <f aca="false">IF(E47&lt;=0.7,"A",IF(E47&lt;=0.9,"B","C"))</f>
        <v>C</v>
      </c>
      <c r="G47" s="7" t="n">
        <v>11</v>
      </c>
      <c r="H47" s="7" t="n">
        <v>50</v>
      </c>
    </row>
    <row r="48" customFormat="false" ht="15" hidden="false" customHeight="false" outlineLevel="0" collapsed="false">
      <c r="A48" s="7" t="n">
        <v>47</v>
      </c>
      <c r="B48" s="7" t="s">
        <v>493</v>
      </c>
      <c r="C48" s="7" t="n">
        <v>17</v>
      </c>
      <c r="D48" s="8" t="n">
        <f aca="false">C48/SUM($C$2:$C$108)</f>
        <v>0.00217778404068613</v>
      </c>
      <c r="E48" s="8" t="n">
        <f aca="false">E47+D48</f>
        <v>0.964604604091672</v>
      </c>
      <c r="F48" s="7" t="str">
        <f aca="false">IF(E48&lt;=0.7,"A",IF(E48&lt;=0.9,"B","C"))</f>
        <v>C</v>
      </c>
      <c r="G48" s="7" t="n">
        <v>430</v>
      </c>
      <c r="H48" s="7" t="n">
        <v>50</v>
      </c>
    </row>
    <row r="49" customFormat="false" ht="15" hidden="false" customHeight="false" outlineLevel="0" collapsed="false">
      <c r="A49" s="7" t="n">
        <v>48</v>
      </c>
      <c r="B49" s="7" t="s">
        <v>494</v>
      </c>
      <c r="C49" s="7" t="n">
        <v>14.9</v>
      </c>
      <c r="D49" s="8" t="n">
        <f aca="false">C49/SUM($C$2:$C$108)</f>
        <v>0.00190876365918961</v>
      </c>
      <c r="E49" s="8" t="n">
        <f aca="false">E48+D49</f>
        <v>0.966513367750862</v>
      </c>
      <c r="F49" s="7" t="str">
        <f aca="false">IF(E49&lt;=0.7,"A",IF(E49&lt;=0.9,"B","C"))</f>
        <v>C</v>
      </c>
      <c r="G49" s="7" t="n">
        <v>17</v>
      </c>
      <c r="H49" s="7" t="n">
        <v>50</v>
      </c>
    </row>
    <row r="50" customFormat="false" ht="15" hidden="false" customHeight="false" outlineLevel="0" collapsed="false">
      <c r="A50" s="7" t="n">
        <v>49</v>
      </c>
      <c r="B50" s="7" t="s">
        <v>495</v>
      </c>
      <c r="C50" s="7" t="n">
        <v>13</v>
      </c>
      <c r="D50" s="8" t="n">
        <f aca="false">C50/SUM($C$2:$C$108)</f>
        <v>0.00166536426640704</v>
      </c>
      <c r="E50" s="8" t="n">
        <f aca="false">E49+D50</f>
        <v>0.968178732017269</v>
      </c>
      <c r="F50" s="7" t="str">
        <f aca="false">IF(E50&lt;=0.7,"A",IF(E50&lt;=0.9,"B","C"))</f>
        <v>C</v>
      </c>
      <c r="G50" s="7" t="n">
        <v>261</v>
      </c>
      <c r="H50" s="7" t="n">
        <v>0</v>
      </c>
    </row>
    <row r="51" customFormat="false" ht="15" hidden="false" customHeight="false" outlineLevel="0" collapsed="false">
      <c r="A51" s="7" t="n">
        <v>50</v>
      </c>
      <c r="B51" s="7" t="s">
        <v>496</v>
      </c>
      <c r="C51" s="7" t="n">
        <v>12.4</v>
      </c>
      <c r="D51" s="8" t="n">
        <f aca="false">C51/SUM($C$2:$C$108)</f>
        <v>0.00158850130026518</v>
      </c>
      <c r="E51" s="8" t="n">
        <f aca="false">E50+D51</f>
        <v>0.969767233317534</v>
      </c>
      <c r="F51" s="7" t="str">
        <f aca="false">IF(E51&lt;=0.7,"A",IF(E51&lt;=0.9,"B","C"))</f>
        <v>C</v>
      </c>
      <c r="G51" s="7" t="n">
        <v>145</v>
      </c>
      <c r="H51" s="7" t="n">
        <v>50</v>
      </c>
    </row>
    <row r="52" customFormat="false" ht="15" hidden="false" customHeight="false" outlineLevel="0" collapsed="false">
      <c r="A52" s="7" t="n">
        <v>51</v>
      </c>
      <c r="B52" s="7" t="s">
        <v>497</v>
      </c>
      <c r="C52" s="7" t="n">
        <v>12.2</v>
      </c>
      <c r="D52" s="8" t="n">
        <f aca="false">C52/SUM($C$2:$C$108)</f>
        <v>0.00156288031155122</v>
      </c>
      <c r="E52" s="8" t="n">
        <f aca="false">E51+D52</f>
        <v>0.971330113629085</v>
      </c>
      <c r="F52" s="7" t="str">
        <f aca="false">IF(E52&lt;=0.7,"A",IF(E52&lt;=0.9,"B","C"))</f>
        <v>C</v>
      </c>
      <c r="G52" s="7" t="n">
        <v>599</v>
      </c>
      <c r="H52" s="7" t="n">
        <v>100</v>
      </c>
    </row>
    <row r="53" customFormat="false" ht="15" hidden="false" customHeight="false" outlineLevel="0" collapsed="false">
      <c r="A53" s="7" t="n">
        <v>52</v>
      </c>
      <c r="B53" s="7" t="s">
        <v>498</v>
      </c>
      <c r="C53" s="7" t="n">
        <v>12.2</v>
      </c>
      <c r="D53" s="8" t="n">
        <f aca="false">C53/SUM($C$2:$C$108)</f>
        <v>0.00156288031155122</v>
      </c>
      <c r="E53" s="8" t="n">
        <f aca="false">E52+D53</f>
        <v>0.972892993940637</v>
      </c>
      <c r="F53" s="7" t="str">
        <f aca="false">IF(E53&lt;=0.7,"A",IF(E53&lt;=0.9,"B","C"))</f>
        <v>C</v>
      </c>
      <c r="G53" s="7" t="n">
        <v>39</v>
      </c>
      <c r="H53" s="7" t="n">
        <v>50</v>
      </c>
    </row>
    <row r="54" customFormat="false" ht="15" hidden="false" customHeight="false" outlineLevel="0" collapsed="false">
      <c r="A54" s="7" t="n">
        <v>53</v>
      </c>
      <c r="B54" s="7" t="s">
        <v>499</v>
      </c>
      <c r="C54" s="7" t="n">
        <v>11.9</v>
      </c>
      <c r="D54" s="8" t="n">
        <f aca="false">C54/SUM($C$2:$C$108)</f>
        <v>0.00152444882848029</v>
      </c>
      <c r="E54" s="8" t="n">
        <f aca="false">E53+D54</f>
        <v>0.974417442769117</v>
      </c>
      <c r="F54" s="7" t="str">
        <f aca="false">IF(E54&lt;=0.7,"A",IF(E54&lt;=0.9,"B","C"))</f>
        <v>C</v>
      </c>
      <c r="G54" s="7" t="n">
        <v>345</v>
      </c>
      <c r="H54" s="7" t="n">
        <v>50</v>
      </c>
    </row>
    <row r="55" customFormat="false" ht="15" hidden="false" customHeight="false" outlineLevel="0" collapsed="false">
      <c r="A55" s="7" t="n">
        <v>54</v>
      </c>
      <c r="B55" s="7" t="s">
        <v>500</v>
      </c>
      <c r="C55" s="7" t="n">
        <v>11.4</v>
      </c>
      <c r="D55" s="8" t="n">
        <f aca="false">C55/SUM($C$2:$C$108)</f>
        <v>0.0014603963566954</v>
      </c>
      <c r="E55" s="8" t="n">
        <f aca="false">E54+D55</f>
        <v>0.975877839125812</v>
      </c>
      <c r="F55" s="7" t="str">
        <f aca="false">IF(E55&lt;=0.7,"A",IF(E55&lt;=0.9,"B","C"))</f>
        <v>C</v>
      </c>
      <c r="G55" s="7" t="n">
        <v>30</v>
      </c>
      <c r="H55" s="7" t="n">
        <v>50</v>
      </c>
    </row>
    <row r="56" customFormat="false" ht="15" hidden="false" customHeight="false" outlineLevel="0" collapsed="false">
      <c r="A56" s="7" t="n">
        <v>55</v>
      </c>
      <c r="B56" s="7" t="s">
        <v>501</v>
      </c>
      <c r="C56" s="7" t="n">
        <v>10.8</v>
      </c>
      <c r="D56" s="8" t="n">
        <f aca="false">C56/SUM($C$2:$C$108)</f>
        <v>0.00138353339055354</v>
      </c>
      <c r="E56" s="8" t="n">
        <f aca="false">E55+D56</f>
        <v>0.977261372516366</v>
      </c>
      <c r="F56" s="7" t="str">
        <f aca="false">IF(E56&lt;=0.7,"A",IF(E56&lt;=0.9,"B","C"))</f>
        <v>C</v>
      </c>
      <c r="G56" s="7" t="n">
        <v>8</v>
      </c>
      <c r="H56" s="7" t="n">
        <v>100</v>
      </c>
    </row>
    <row r="57" customFormat="false" ht="15" hidden="false" customHeight="false" outlineLevel="0" collapsed="false">
      <c r="A57" s="7" t="n">
        <v>56</v>
      </c>
      <c r="B57" s="7" t="s">
        <v>502</v>
      </c>
      <c r="C57" s="7" t="n">
        <v>10.5</v>
      </c>
      <c r="D57" s="8" t="n">
        <f aca="false">C57/SUM($C$2:$C$108)</f>
        <v>0.00134510190748261</v>
      </c>
      <c r="E57" s="8" t="n">
        <f aca="false">E56+D57</f>
        <v>0.978606474423848</v>
      </c>
      <c r="F57" s="7" t="str">
        <f aca="false">IF(E57&lt;=0.7,"A",IF(E57&lt;=0.9,"B","C"))</f>
        <v>C</v>
      </c>
      <c r="G57" s="7" t="n">
        <v>404</v>
      </c>
      <c r="H57" s="7" t="n">
        <v>0</v>
      </c>
    </row>
    <row r="58" customFormat="false" ht="15" hidden="false" customHeight="false" outlineLevel="0" collapsed="false">
      <c r="A58" s="7" t="n">
        <v>57</v>
      </c>
      <c r="B58" s="7" t="s">
        <v>503</v>
      </c>
      <c r="C58" s="7" t="n">
        <v>10.5</v>
      </c>
      <c r="D58" s="8" t="n">
        <f aca="false">C58/SUM($C$2:$C$108)</f>
        <v>0.00134510190748261</v>
      </c>
      <c r="E58" s="8" t="n">
        <f aca="false">E57+D58</f>
        <v>0.979951576331331</v>
      </c>
      <c r="F58" s="7" t="str">
        <f aca="false">IF(E58&lt;=0.7,"A",IF(E58&lt;=0.9,"B","C"))</f>
        <v>C</v>
      </c>
      <c r="G58" s="7" t="n">
        <v>7</v>
      </c>
      <c r="H58" s="7" t="n">
        <v>50</v>
      </c>
    </row>
    <row r="59" customFormat="false" ht="15" hidden="false" customHeight="false" outlineLevel="0" collapsed="false">
      <c r="A59" s="7" t="n">
        <v>58</v>
      </c>
      <c r="B59" s="7" t="s">
        <v>504</v>
      </c>
      <c r="C59" s="7" t="n">
        <v>10.3</v>
      </c>
      <c r="D59" s="8" t="n">
        <f aca="false">C59/SUM($C$2:$C$108)</f>
        <v>0.00131948091876866</v>
      </c>
      <c r="E59" s="8" t="n">
        <f aca="false">E58+D59</f>
        <v>0.9812710572501</v>
      </c>
      <c r="F59" s="7" t="str">
        <f aca="false">IF(E59&lt;=0.7,"A",IF(E59&lt;=0.9,"B","C"))</f>
        <v>C</v>
      </c>
      <c r="G59" s="7" t="n">
        <v>12</v>
      </c>
      <c r="H59" s="7" t="n">
        <v>50</v>
      </c>
    </row>
    <row r="60" customFormat="false" ht="15" hidden="false" customHeight="false" outlineLevel="0" collapsed="false">
      <c r="A60" s="7" t="n">
        <v>59</v>
      </c>
      <c r="B60" s="7" t="s">
        <v>505</v>
      </c>
      <c r="C60" s="7" t="n">
        <v>10.3</v>
      </c>
      <c r="D60" s="8" t="n">
        <f aca="false">C60/SUM($C$2:$C$108)</f>
        <v>0.00131948091876866</v>
      </c>
      <c r="E60" s="8" t="n">
        <f aca="false">E59+D60</f>
        <v>0.982590538168868</v>
      </c>
      <c r="F60" s="7" t="str">
        <f aca="false">IF(E60&lt;=0.7,"A",IF(E60&lt;=0.9,"B","C"))</f>
        <v>C</v>
      </c>
      <c r="G60" s="7" t="n">
        <v>11</v>
      </c>
      <c r="H60" s="7" t="n">
        <v>50</v>
      </c>
    </row>
    <row r="61" customFormat="false" ht="15" hidden="false" customHeight="false" outlineLevel="0" collapsed="false">
      <c r="A61" s="7" t="n">
        <v>60</v>
      </c>
      <c r="B61" s="7" t="s">
        <v>506</v>
      </c>
      <c r="C61" s="7" t="n">
        <v>8.9</v>
      </c>
      <c r="D61" s="8" t="n">
        <f aca="false">C61/SUM($C$2:$C$108)</f>
        <v>0.00114013399777097</v>
      </c>
      <c r="E61" s="8" t="n">
        <f aca="false">E60+D61</f>
        <v>0.983730672166639</v>
      </c>
      <c r="F61" s="7" t="str">
        <f aca="false">IF(E61&lt;=0.7,"A",IF(E61&lt;=0.9,"B","C"))</f>
        <v>C</v>
      </c>
      <c r="G61" s="7" t="n">
        <v>44</v>
      </c>
      <c r="H61" s="7" t="n">
        <v>50</v>
      </c>
    </row>
    <row r="62" customFormat="false" ht="15" hidden="false" customHeight="false" outlineLevel="0" collapsed="false">
      <c r="A62" s="7" t="n">
        <v>61</v>
      </c>
      <c r="B62" s="7" t="s">
        <v>507</v>
      </c>
      <c r="C62" s="7" t="n">
        <v>8.6</v>
      </c>
      <c r="D62" s="8" t="n">
        <f aca="false">C62/SUM($C$2:$C$108)</f>
        <v>0.00110170251470004</v>
      </c>
      <c r="E62" s="8" t="n">
        <f aca="false">E61+D62</f>
        <v>0.984832374681339</v>
      </c>
      <c r="F62" s="7" t="str">
        <f aca="false">IF(E62&lt;=0.7,"A",IF(E62&lt;=0.9,"B","C"))</f>
        <v>C</v>
      </c>
      <c r="G62" s="7" t="n">
        <v>257</v>
      </c>
      <c r="H62" s="7" t="n">
        <v>100</v>
      </c>
    </row>
    <row r="63" customFormat="false" ht="15" hidden="false" customHeight="false" outlineLevel="0" collapsed="false">
      <c r="A63" s="7" t="n">
        <v>62</v>
      </c>
      <c r="B63" s="7" t="s">
        <v>508</v>
      </c>
      <c r="C63" s="7" t="n">
        <v>8.4</v>
      </c>
      <c r="D63" s="8" t="n">
        <f aca="false">C63/SUM($C$2:$C$108)</f>
        <v>0.00107608152598609</v>
      </c>
      <c r="E63" s="8" t="n">
        <f aca="false">E62+D63</f>
        <v>0.985908456207325</v>
      </c>
      <c r="F63" s="7" t="str">
        <f aca="false">IF(E63&lt;=0.7,"A",IF(E63&lt;=0.9,"B","C"))</f>
        <v>C</v>
      </c>
      <c r="G63" s="7" t="n">
        <v>53</v>
      </c>
      <c r="H63" s="7" t="n">
        <v>50</v>
      </c>
    </row>
    <row r="64" customFormat="false" ht="15" hidden="false" customHeight="false" outlineLevel="0" collapsed="false">
      <c r="A64" s="7" t="n">
        <v>63</v>
      </c>
      <c r="B64" s="7" t="s">
        <v>509</v>
      </c>
      <c r="C64" s="7" t="n">
        <v>7.8</v>
      </c>
      <c r="D64" s="8" t="n">
        <f aca="false">C64/SUM($C$2:$C$108)</f>
        <v>0.000999218559844224</v>
      </c>
      <c r="E64" s="8" t="n">
        <f aca="false">E63+D64</f>
        <v>0.98690767476717</v>
      </c>
      <c r="F64" s="7" t="str">
        <f aca="false">IF(E64&lt;=0.7,"A",IF(E64&lt;=0.9,"B","C"))</f>
        <v>C</v>
      </c>
      <c r="G64" s="7" t="n">
        <v>162</v>
      </c>
      <c r="H64" s="7" t="n">
        <v>50</v>
      </c>
    </row>
    <row r="65" customFormat="false" ht="15" hidden="false" customHeight="false" outlineLevel="0" collapsed="false">
      <c r="A65" s="7" t="n">
        <v>64</v>
      </c>
      <c r="B65" s="7" t="s">
        <v>510</v>
      </c>
      <c r="C65" s="7" t="n">
        <v>6.5</v>
      </c>
      <c r="D65" s="8" t="n">
        <f aca="false">C65/SUM($C$2:$C$108)</f>
        <v>0.00083268213320352</v>
      </c>
      <c r="E65" s="8" t="n">
        <f aca="false">E64+D65</f>
        <v>0.987740356900373</v>
      </c>
      <c r="F65" s="7" t="str">
        <f aca="false">IF(E65&lt;=0.7,"A",IF(E65&lt;=0.9,"B","C"))</f>
        <v>C</v>
      </c>
      <c r="G65" s="7" t="n">
        <v>4</v>
      </c>
      <c r="H65" s="7" t="n">
        <v>50</v>
      </c>
    </row>
    <row r="66" customFormat="false" ht="15" hidden="false" customHeight="false" outlineLevel="0" collapsed="false">
      <c r="A66" s="7" t="n">
        <v>65</v>
      </c>
      <c r="B66" s="7" t="s">
        <v>511</v>
      </c>
      <c r="C66" s="7" t="n">
        <v>5.9</v>
      </c>
      <c r="D66" s="8" t="n">
        <f aca="false">C66/SUM($C$2:$C$108)</f>
        <v>0.000755819167061657</v>
      </c>
      <c r="E66" s="8" t="n">
        <f aca="false">E65+D66</f>
        <v>0.988496176067435</v>
      </c>
      <c r="F66" s="7" t="str">
        <f aca="false">IF(E66&lt;=0.7,"A",IF(E66&lt;=0.9,"B","C"))</f>
        <v>C</v>
      </c>
      <c r="G66" s="7" t="n">
        <v>49</v>
      </c>
      <c r="H66" s="7" t="n">
        <v>50</v>
      </c>
    </row>
    <row r="67" customFormat="false" ht="15" hidden="false" customHeight="false" outlineLevel="0" collapsed="false">
      <c r="A67" s="7" t="n">
        <v>66</v>
      </c>
      <c r="B67" s="7" t="s">
        <v>512</v>
      </c>
      <c r="C67" s="7" t="n">
        <v>5.7</v>
      </c>
      <c r="D67" s="8" t="n">
        <f aca="false">C67/SUM($C$2:$C$108)</f>
        <v>0.000730198178347702</v>
      </c>
      <c r="E67" s="8" t="n">
        <f aca="false">E66+D67</f>
        <v>0.989226374245782</v>
      </c>
      <c r="F67" s="7" t="str">
        <f aca="false">IF(E67&lt;=0.7,"A",IF(E67&lt;=0.9,"B","C"))</f>
        <v>C</v>
      </c>
      <c r="G67" s="7" t="n">
        <v>140</v>
      </c>
      <c r="H67" s="7" t="n">
        <v>100</v>
      </c>
    </row>
    <row r="68" customFormat="false" ht="15" hidden="false" customHeight="false" outlineLevel="0" collapsed="false">
      <c r="A68" s="7" t="n">
        <v>67</v>
      </c>
      <c r="B68" s="7" t="s">
        <v>513</v>
      </c>
      <c r="C68" s="7" t="n">
        <v>5.4</v>
      </c>
      <c r="D68" s="8" t="n">
        <f aca="false">C68/SUM($C$2:$C$108)</f>
        <v>0.000691766695276771</v>
      </c>
      <c r="E68" s="8" t="n">
        <f aca="false">E67+D68</f>
        <v>0.989918140941059</v>
      </c>
      <c r="F68" s="7" t="str">
        <f aca="false">IF(E68&lt;=0.7,"A",IF(E68&lt;=0.9,"B","C"))</f>
        <v>C</v>
      </c>
      <c r="G68" s="7" t="n">
        <v>129</v>
      </c>
      <c r="H68" s="7" t="n">
        <v>50</v>
      </c>
    </row>
    <row r="69" customFormat="false" ht="15" hidden="false" customHeight="false" outlineLevel="0" collapsed="false">
      <c r="A69" s="7" t="n">
        <v>68</v>
      </c>
      <c r="B69" s="7" t="s">
        <v>514</v>
      </c>
      <c r="C69" s="7" t="n">
        <v>4.6</v>
      </c>
      <c r="D69" s="8" t="n">
        <f aca="false">C69/SUM($C$2:$C$108)</f>
        <v>0.000589282740420953</v>
      </c>
      <c r="E69" s="8" t="n">
        <f aca="false">E68+D69</f>
        <v>0.99050742368148</v>
      </c>
      <c r="F69" s="7" t="str">
        <f aca="false">IF(E69&lt;=0.7,"A",IF(E69&lt;=0.9,"B","C"))</f>
        <v>C</v>
      </c>
      <c r="G69" s="7" t="n">
        <v>13</v>
      </c>
      <c r="H69" s="7" t="n">
        <v>70</v>
      </c>
    </row>
    <row r="70" customFormat="false" ht="15" hidden="false" customHeight="false" outlineLevel="0" collapsed="false">
      <c r="A70" s="7" t="n">
        <v>69</v>
      </c>
      <c r="B70" s="7" t="s">
        <v>515</v>
      </c>
      <c r="C70" s="7" t="n">
        <v>4.6</v>
      </c>
      <c r="D70" s="8" t="n">
        <f aca="false">C70/SUM($C$2:$C$108)</f>
        <v>0.000589282740420953</v>
      </c>
      <c r="E70" s="8" t="n">
        <f aca="false">E69+D70</f>
        <v>0.991096706421901</v>
      </c>
      <c r="F70" s="7" t="str">
        <f aca="false">IF(E70&lt;=0.7,"A",IF(E70&lt;=0.9,"B","C"))</f>
        <v>C</v>
      </c>
      <c r="G70" s="7" t="n">
        <v>19</v>
      </c>
      <c r="H70" s="7" t="n">
        <v>50</v>
      </c>
    </row>
    <row r="71" customFormat="false" ht="15" hidden="false" customHeight="false" outlineLevel="0" collapsed="false">
      <c r="A71" s="7" t="n">
        <v>70</v>
      </c>
      <c r="B71" s="7" t="s">
        <v>516</v>
      </c>
      <c r="C71" s="7" t="n">
        <v>4.3</v>
      </c>
      <c r="D71" s="8" t="n">
        <f aca="false">C71/SUM($C$2:$C$108)</f>
        <v>0.000550851257350021</v>
      </c>
      <c r="E71" s="8" t="n">
        <f aca="false">E70+D71</f>
        <v>0.991647557679251</v>
      </c>
      <c r="F71" s="7" t="str">
        <f aca="false">IF(E71&lt;=0.7,"A",IF(E71&lt;=0.9,"B","C"))</f>
        <v>C</v>
      </c>
      <c r="G71" s="7" t="n">
        <v>5</v>
      </c>
      <c r="H71" s="7" t="n">
        <v>50</v>
      </c>
    </row>
    <row r="72" customFormat="false" ht="15" hidden="false" customHeight="false" outlineLevel="0" collapsed="false">
      <c r="A72" s="7" t="n">
        <v>71</v>
      </c>
      <c r="B72" s="7" t="s">
        <v>517</v>
      </c>
      <c r="C72" s="7" t="n">
        <v>4.3</v>
      </c>
      <c r="D72" s="8" t="n">
        <f aca="false">C72/SUM($C$2:$C$108)</f>
        <v>0.000550851257350021</v>
      </c>
      <c r="E72" s="8" t="n">
        <f aca="false">E71+D72</f>
        <v>0.992198408936601</v>
      </c>
      <c r="F72" s="7" t="str">
        <f aca="false">IF(E72&lt;=0.7,"A",IF(E72&lt;=0.9,"B","C"))</f>
        <v>C</v>
      </c>
      <c r="G72" s="7" t="n">
        <v>3</v>
      </c>
      <c r="H72" s="7" t="n">
        <v>50</v>
      </c>
    </row>
    <row r="73" customFormat="false" ht="15" hidden="false" customHeight="false" outlineLevel="0" collapsed="false">
      <c r="A73" s="7" t="n">
        <v>72</v>
      </c>
      <c r="B73" s="7" t="s">
        <v>518</v>
      </c>
      <c r="C73" s="7" t="n">
        <v>4.3</v>
      </c>
      <c r="D73" s="8" t="n">
        <f aca="false">C73/SUM($C$2:$C$108)</f>
        <v>0.000550851257350021</v>
      </c>
      <c r="E73" s="8" t="n">
        <f aca="false">E72+D73</f>
        <v>0.992749260193951</v>
      </c>
      <c r="F73" s="7" t="str">
        <f aca="false">IF(E73&lt;=0.7,"A",IF(E73&lt;=0.9,"B","C"))</f>
        <v>C</v>
      </c>
      <c r="G73" s="7" t="n">
        <v>284</v>
      </c>
      <c r="H73" s="7" t="n">
        <v>0</v>
      </c>
    </row>
    <row r="74" customFormat="false" ht="15" hidden="false" customHeight="false" outlineLevel="0" collapsed="false">
      <c r="A74" s="7" t="n">
        <v>73</v>
      </c>
      <c r="B74" s="7" t="s">
        <v>519</v>
      </c>
      <c r="C74" s="7" t="n">
        <v>4.1</v>
      </c>
      <c r="D74" s="8" t="n">
        <f aca="false">C74/SUM($C$2:$C$108)</f>
        <v>0.000525230268636067</v>
      </c>
      <c r="E74" s="8" t="n">
        <f aca="false">E73+D74</f>
        <v>0.993274490462587</v>
      </c>
      <c r="F74" s="7" t="str">
        <f aca="false">IF(E74&lt;=0.7,"A",IF(E74&lt;=0.9,"B","C"))</f>
        <v>C</v>
      </c>
      <c r="G74" s="7" t="n">
        <v>13</v>
      </c>
      <c r="H74" s="7" t="n">
        <v>50</v>
      </c>
    </row>
    <row r="75" customFormat="false" ht="15" hidden="false" customHeight="false" outlineLevel="0" collapsed="false">
      <c r="A75" s="7" t="n">
        <v>74</v>
      </c>
      <c r="B75" s="7" t="s">
        <v>520</v>
      </c>
      <c r="C75" s="7" t="n">
        <v>3.8</v>
      </c>
      <c r="D75" s="8" t="n">
        <f aca="false">C75/SUM($C$2:$C$108)</f>
        <v>0.000486798785565135</v>
      </c>
      <c r="E75" s="8" t="n">
        <f aca="false">E74+D75</f>
        <v>0.993761289248152</v>
      </c>
      <c r="F75" s="7" t="str">
        <f aca="false">IF(E75&lt;=0.7,"A",IF(E75&lt;=0.9,"B","C"))</f>
        <v>C</v>
      </c>
      <c r="G75" s="7" t="n">
        <v>15</v>
      </c>
      <c r="H75" s="7" t="n">
        <v>0</v>
      </c>
    </row>
    <row r="76" customFormat="false" ht="15" hidden="false" customHeight="false" outlineLevel="0" collapsed="false">
      <c r="A76" s="7" t="n">
        <v>75</v>
      </c>
      <c r="B76" s="7" t="s">
        <v>521</v>
      </c>
      <c r="C76" s="7" t="n">
        <v>3.2</v>
      </c>
      <c r="D76" s="8" t="n">
        <f aca="false">C76/SUM($C$2:$C$108)</f>
        <v>0.000409935819423272</v>
      </c>
      <c r="E76" s="8" t="n">
        <f aca="false">E75+D76</f>
        <v>0.994171225067576</v>
      </c>
      <c r="F76" s="7" t="str">
        <f aca="false">IF(E76&lt;=0.7,"A",IF(E76&lt;=0.9,"B","C"))</f>
        <v>C</v>
      </c>
      <c r="G76" s="7" t="n">
        <v>13</v>
      </c>
      <c r="H76" s="7" t="n">
        <v>50</v>
      </c>
    </row>
    <row r="77" customFormat="false" ht="15" hidden="false" customHeight="false" outlineLevel="0" collapsed="false">
      <c r="A77" s="7" t="n">
        <v>76</v>
      </c>
      <c r="B77" s="7" t="s">
        <v>522</v>
      </c>
      <c r="C77" s="7" t="n">
        <v>3.2</v>
      </c>
      <c r="D77" s="8" t="n">
        <f aca="false">C77/SUM($C$2:$C$108)</f>
        <v>0.000409935819423272</v>
      </c>
      <c r="E77" s="8" t="n">
        <f aca="false">E76+D77</f>
        <v>0.994581160886999</v>
      </c>
      <c r="F77" s="7" t="str">
        <f aca="false">IF(E77&lt;=0.7,"A",IF(E77&lt;=0.9,"B","C"))</f>
        <v>C</v>
      </c>
      <c r="G77" s="7" t="n">
        <v>18</v>
      </c>
      <c r="H77" s="7" t="n">
        <v>0</v>
      </c>
    </row>
    <row r="78" customFormat="false" ht="15" hidden="false" customHeight="false" outlineLevel="0" collapsed="false">
      <c r="A78" s="7" t="n">
        <v>77</v>
      </c>
      <c r="B78" s="7" t="s">
        <v>523</v>
      </c>
      <c r="C78" s="7" t="n">
        <v>3</v>
      </c>
      <c r="D78" s="8" t="n">
        <f aca="false">C78/SUM($C$2:$C$108)</f>
        <v>0.000384314830709317</v>
      </c>
      <c r="E78" s="8" t="n">
        <f aca="false">E77+D78</f>
        <v>0.994965475717708</v>
      </c>
      <c r="F78" s="7" t="str">
        <f aca="false">IF(E78&lt;=0.7,"A",IF(E78&lt;=0.9,"B","C"))</f>
        <v>C</v>
      </c>
      <c r="G78" s="7" t="n">
        <v>3</v>
      </c>
      <c r="H78" s="7" t="n">
        <v>50</v>
      </c>
    </row>
    <row r="79" customFormat="false" ht="15" hidden="false" customHeight="false" outlineLevel="0" collapsed="false">
      <c r="A79" s="7" t="n">
        <v>78</v>
      </c>
      <c r="B79" s="7" t="s">
        <v>524</v>
      </c>
      <c r="C79" s="7" t="n">
        <v>3</v>
      </c>
      <c r="D79" s="8" t="n">
        <f aca="false">C79/SUM($C$2:$C$108)</f>
        <v>0.000384314830709317</v>
      </c>
      <c r="E79" s="8" t="n">
        <f aca="false">E78+D79</f>
        <v>0.995349790548417</v>
      </c>
      <c r="F79" s="7" t="str">
        <f aca="false">IF(E79&lt;=0.7,"A",IF(E79&lt;=0.9,"B","C"))</f>
        <v>C</v>
      </c>
      <c r="G79" s="7" t="n">
        <v>81</v>
      </c>
      <c r="H79" s="7" t="n">
        <v>50</v>
      </c>
    </row>
    <row r="80" customFormat="false" ht="15" hidden="false" customHeight="false" outlineLevel="0" collapsed="false">
      <c r="A80" s="7" t="n">
        <v>79</v>
      </c>
      <c r="B80" s="7" t="s">
        <v>525</v>
      </c>
      <c r="C80" s="7" t="n">
        <v>3</v>
      </c>
      <c r="D80" s="8" t="n">
        <f aca="false">C80/SUM($C$2:$C$108)</f>
        <v>0.000384314830709317</v>
      </c>
      <c r="E80" s="8" t="n">
        <f aca="false">E79+D80</f>
        <v>0.995734105379127</v>
      </c>
      <c r="F80" s="7" t="str">
        <f aca="false">IF(E80&lt;=0.7,"A",IF(E80&lt;=0.9,"B","C"))</f>
        <v>C</v>
      </c>
      <c r="G80" s="7" t="n">
        <v>25</v>
      </c>
      <c r="H80" s="7" t="n">
        <v>100</v>
      </c>
    </row>
    <row r="81" customFormat="false" ht="15" hidden="false" customHeight="false" outlineLevel="0" collapsed="false">
      <c r="A81" s="7" t="n">
        <v>80</v>
      </c>
      <c r="B81" s="7" t="s">
        <v>526</v>
      </c>
      <c r="C81" s="7" t="n">
        <v>2.7</v>
      </c>
      <c r="D81" s="8" t="n">
        <f aca="false">C81/SUM($C$2:$C$108)</f>
        <v>0.000345883347638385</v>
      </c>
      <c r="E81" s="8" t="n">
        <f aca="false">E80+D81</f>
        <v>0.996079988726765</v>
      </c>
      <c r="F81" s="7" t="str">
        <f aca="false">IF(E81&lt;=0.7,"A",IF(E81&lt;=0.9,"B","C"))</f>
        <v>C</v>
      </c>
      <c r="G81" s="7" t="n">
        <v>88</v>
      </c>
      <c r="H81" s="7" t="n">
        <v>50</v>
      </c>
    </row>
    <row r="82" customFormat="false" ht="15" hidden="false" customHeight="false" outlineLevel="0" collapsed="false">
      <c r="A82" s="7" t="n">
        <v>81</v>
      </c>
      <c r="B82" s="7" t="s">
        <v>527</v>
      </c>
      <c r="C82" s="7" t="n">
        <v>2.7</v>
      </c>
      <c r="D82" s="8" t="n">
        <f aca="false">C82/SUM($C$2:$C$108)</f>
        <v>0.000345883347638385</v>
      </c>
      <c r="E82" s="8" t="n">
        <f aca="false">E81+D82</f>
        <v>0.996425872074404</v>
      </c>
      <c r="F82" s="7" t="str">
        <f aca="false">IF(E82&lt;=0.7,"A",IF(E82&lt;=0.9,"B","C"))</f>
        <v>C</v>
      </c>
      <c r="G82" s="7" t="n">
        <v>80</v>
      </c>
      <c r="H82" s="7" t="n">
        <v>50</v>
      </c>
    </row>
    <row r="83" customFormat="false" ht="15" hidden="false" customHeight="false" outlineLevel="0" collapsed="false">
      <c r="A83" s="7" t="n">
        <v>82</v>
      </c>
      <c r="B83" s="7" t="s">
        <v>528</v>
      </c>
      <c r="C83" s="7" t="n">
        <v>2.4</v>
      </c>
      <c r="D83" s="8" t="n">
        <f aca="false">C83/SUM($C$2:$C$108)</f>
        <v>0.000307451864567454</v>
      </c>
      <c r="E83" s="8" t="n">
        <f aca="false">E82+D83</f>
        <v>0.996733323938971</v>
      </c>
      <c r="F83" s="7" t="str">
        <f aca="false">IF(E83&lt;=0.7,"A",IF(E83&lt;=0.9,"B","C"))</f>
        <v>C</v>
      </c>
      <c r="G83" s="7" t="n">
        <v>49</v>
      </c>
      <c r="H83" s="7" t="n">
        <v>50</v>
      </c>
    </row>
    <row r="84" customFormat="false" ht="15" hidden="false" customHeight="false" outlineLevel="0" collapsed="false">
      <c r="A84" s="7" t="n">
        <v>83</v>
      </c>
      <c r="B84" s="7" t="s">
        <v>529</v>
      </c>
      <c r="C84" s="7" t="n">
        <v>2.2</v>
      </c>
      <c r="D84" s="8" t="n">
        <f aca="false">C84/SUM($C$2:$C$108)</f>
        <v>0.000281830875853499</v>
      </c>
      <c r="E84" s="8" t="n">
        <f aca="false">E83+D84</f>
        <v>0.997015154814825</v>
      </c>
      <c r="F84" s="7" t="str">
        <f aca="false">IF(E84&lt;=0.7,"A",IF(E84&lt;=0.9,"B","C"))</f>
        <v>C</v>
      </c>
      <c r="G84" s="7" t="n">
        <v>70</v>
      </c>
      <c r="H84" s="7" t="n">
        <v>50</v>
      </c>
    </row>
    <row r="85" customFormat="false" ht="15" hidden="false" customHeight="false" outlineLevel="0" collapsed="false">
      <c r="A85" s="7" t="n">
        <v>84</v>
      </c>
      <c r="B85" s="7" t="s">
        <v>530</v>
      </c>
      <c r="C85" s="7" t="n">
        <v>1.9</v>
      </c>
      <c r="D85" s="8" t="n">
        <f aca="false">C85/SUM($C$2:$C$108)</f>
        <v>0.000243399392782567</v>
      </c>
      <c r="E85" s="8" t="n">
        <f aca="false">E84+D85</f>
        <v>0.997258554207607</v>
      </c>
      <c r="F85" s="7" t="str">
        <f aca="false">IF(E85&lt;=0.7,"A",IF(E85&lt;=0.9,"B","C"))</f>
        <v>C</v>
      </c>
      <c r="G85" s="7" t="n">
        <v>47</v>
      </c>
      <c r="H85" s="7" t="n">
        <v>50</v>
      </c>
    </row>
    <row r="86" customFormat="false" ht="15" hidden="false" customHeight="false" outlineLevel="0" collapsed="false">
      <c r="A86" s="7" t="n">
        <v>85</v>
      </c>
      <c r="B86" s="7" t="s">
        <v>531</v>
      </c>
      <c r="C86" s="7" t="n">
        <v>1.9</v>
      </c>
      <c r="D86" s="8" t="n">
        <f aca="false">C86/SUM($C$2:$C$108)</f>
        <v>0.000243399392782567</v>
      </c>
      <c r="E86" s="8" t="n">
        <f aca="false">E85+D86</f>
        <v>0.99750195360039</v>
      </c>
      <c r="F86" s="7" t="str">
        <f aca="false">IF(E86&lt;=0.7,"A",IF(E86&lt;=0.9,"B","C"))</f>
        <v>C</v>
      </c>
      <c r="G86" s="7" t="n">
        <v>2</v>
      </c>
      <c r="H86" s="7" t="n">
        <v>50</v>
      </c>
    </row>
    <row r="87" customFormat="false" ht="15" hidden="false" customHeight="false" outlineLevel="0" collapsed="false">
      <c r="A87" s="7" t="n">
        <v>86</v>
      </c>
      <c r="B87" s="7" t="s">
        <v>532</v>
      </c>
      <c r="C87" s="7" t="n">
        <v>1.9</v>
      </c>
      <c r="D87" s="8" t="n">
        <f aca="false">C87/SUM($C$2:$C$108)</f>
        <v>0.000243399392782567</v>
      </c>
      <c r="E87" s="8" t="n">
        <f aca="false">E86+D87</f>
        <v>0.997745352993173</v>
      </c>
      <c r="F87" s="7" t="str">
        <f aca="false">IF(E87&lt;=0.7,"A",IF(E87&lt;=0.9,"B","C"))</f>
        <v>C</v>
      </c>
      <c r="G87" s="7" t="n">
        <v>99</v>
      </c>
      <c r="H87" s="7" t="n">
        <v>0</v>
      </c>
    </row>
    <row r="88" customFormat="false" ht="15" hidden="false" customHeight="false" outlineLevel="0" collapsed="false">
      <c r="A88" s="7" t="n">
        <v>87</v>
      </c>
      <c r="B88" s="7" t="s">
        <v>533</v>
      </c>
      <c r="C88" s="7" t="n">
        <v>1.6</v>
      </c>
      <c r="D88" s="8" t="n">
        <f aca="false">C88/SUM($C$2:$C$108)</f>
        <v>0.000204967909711636</v>
      </c>
      <c r="E88" s="8" t="n">
        <f aca="false">E87+D88</f>
        <v>0.997950320902884</v>
      </c>
      <c r="F88" s="7" t="str">
        <f aca="false">IF(E88&lt;=0.7,"A",IF(E88&lt;=0.9,"B","C"))</f>
        <v>C</v>
      </c>
      <c r="G88" s="7" t="n">
        <v>14</v>
      </c>
      <c r="H88" s="7" t="n">
        <v>0</v>
      </c>
    </row>
    <row r="89" customFormat="false" ht="15" hidden="false" customHeight="false" outlineLevel="0" collapsed="false">
      <c r="A89" s="7" t="n">
        <v>88</v>
      </c>
      <c r="B89" s="7" t="s">
        <v>534</v>
      </c>
      <c r="C89" s="7" t="n">
        <v>1.4</v>
      </c>
      <c r="D89" s="8" t="n">
        <f aca="false">C89/SUM($C$2:$C$108)</f>
        <v>0.000179346920997681</v>
      </c>
      <c r="E89" s="8" t="n">
        <f aca="false">E88+D89</f>
        <v>0.998129667823882</v>
      </c>
      <c r="F89" s="7" t="str">
        <f aca="false">IF(E89&lt;=0.7,"A",IF(E89&lt;=0.9,"B","C"))</f>
        <v>C</v>
      </c>
      <c r="G89" s="7" t="n">
        <v>23</v>
      </c>
      <c r="H89" s="7" t="n">
        <v>50</v>
      </c>
    </row>
    <row r="90" customFormat="false" ht="15" hidden="false" customHeight="false" outlineLevel="0" collapsed="false">
      <c r="A90" s="7" t="n">
        <v>89</v>
      </c>
      <c r="B90" s="7" t="s">
        <v>535</v>
      </c>
      <c r="C90" s="7" t="n">
        <v>1.4</v>
      </c>
      <c r="D90" s="8" t="n">
        <f aca="false">C90/SUM($C$2:$C$108)</f>
        <v>0.000179346920997681</v>
      </c>
      <c r="E90" s="8" t="n">
        <f aca="false">E89+D90</f>
        <v>0.998309014744879</v>
      </c>
      <c r="F90" s="7" t="str">
        <f aca="false">IF(E90&lt;=0.7,"A",IF(E90&lt;=0.9,"B","C"))</f>
        <v>C</v>
      </c>
      <c r="G90" s="7" t="n">
        <v>13</v>
      </c>
      <c r="H90" s="7" t="n">
        <v>50</v>
      </c>
    </row>
    <row r="91" customFormat="false" ht="15" hidden="false" customHeight="false" outlineLevel="0" collapsed="false">
      <c r="A91" s="7" t="n">
        <v>90</v>
      </c>
      <c r="B91" s="7" t="s">
        <v>536</v>
      </c>
      <c r="C91" s="7" t="n">
        <v>1.1</v>
      </c>
      <c r="D91" s="8" t="n">
        <f aca="false">C91/SUM($C$2:$C$108)</f>
        <v>0.00014091543792675</v>
      </c>
      <c r="E91" s="8" t="n">
        <f aca="false">E90+D91</f>
        <v>0.998449930182806</v>
      </c>
      <c r="F91" s="7" t="str">
        <f aca="false">IF(E91&lt;=0.7,"A",IF(E91&lt;=0.9,"B","C"))</f>
        <v>C</v>
      </c>
      <c r="G91" s="7" t="n">
        <v>9</v>
      </c>
      <c r="H91" s="7" t="n">
        <v>50</v>
      </c>
    </row>
    <row r="92" customFormat="false" ht="15" hidden="false" customHeight="false" outlineLevel="0" collapsed="false">
      <c r="A92" s="7" t="n">
        <v>91</v>
      </c>
      <c r="B92" s="7" t="s">
        <v>537</v>
      </c>
      <c r="C92" s="7" t="n">
        <v>1.1</v>
      </c>
      <c r="D92" s="8" t="n">
        <f aca="false">C92/SUM($C$2:$C$108)</f>
        <v>0.00014091543792675</v>
      </c>
      <c r="E92" s="8" t="n">
        <f aca="false">E91+D92</f>
        <v>0.998590845620733</v>
      </c>
      <c r="F92" s="7" t="str">
        <f aca="false">IF(E92&lt;=0.7,"A",IF(E92&lt;=0.9,"B","C"))</f>
        <v>C</v>
      </c>
      <c r="G92" s="7" t="n">
        <v>34</v>
      </c>
      <c r="H92" s="7" t="n">
        <v>50</v>
      </c>
    </row>
    <row r="93" customFormat="false" ht="15" hidden="false" customHeight="false" outlineLevel="0" collapsed="false">
      <c r="A93" s="7" t="n">
        <v>92</v>
      </c>
      <c r="B93" s="7" t="s">
        <v>538</v>
      </c>
      <c r="C93" s="7" t="n">
        <v>1.1</v>
      </c>
      <c r="D93" s="8" t="n">
        <f aca="false">C93/SUM($C$2:$C$108)</f>
        <v>0.00014091543792675</v>
      </c>
      <c r="E93" s="8" t="n">
        <f aca="false">E92+D93</f>
        <v>0.99873176105866</v>
      </c>
      <c r="F93" s="7" t="str">
        <f aca="false">IF(E93&lt;=0.7,"A",IF(E93&lt;=0.9,"B","C"))</f>
        <v>C</v>
      </c>
      <c r="G93" s="7" t="n">
        <v>20</v>
      </c>
      <c r="H93" s="7" t="n">
        <v>50</v>
      </c>
    </row>
    <row r="94" customFormat="false" ht="15" hidden="false" customHeight="false" outlineLevel="0" collapsed="false">
      <c r="A94" s="7" t="n">
        <v>93</v>
      </c>
      <c r="B94" s="7" t="s">
        <v>539</v>
      </c>
      <c r="C94" s="7" t="n">
        <v>1.1</v>
      </c>
      <c r="D94" s="8" t="n">
        <f aca="false">C94/SUM($C$2:$C$108)</f>
        <v>0.00014091543792675</v>
      </c>
      <c r="E94" s="8" t="n">
        <f aca="false">E93+D94</f>
        <v>0.998872676496586</v>
      </c>
      <c r="F94" s="7" t="str">
        <f aca="false">IF(E94&lt;=0.7,"A",IF(E94&lt;=0.9,"B","C"))</f>
        <v>C</v>
      </c>
      <c r="G94" s="7" t="n">
        <v>6</v>
      </c>
      <c r="H94" s="7" t="n">
        <v>50</v>
      </c>
    </row>
    <row r="95" customFormat="false" ht="15" hidden="false" customHeight="false" outlineLevel="0" collapsed="false">
      <c r="A95" s="7" t="n">
        <v>94</v>
      </c>
      <c r="B95" s="7" t="s">
        <v>540</v>
      </c>
      <c r="C95" s="7" t="n">
        <v>1.1</v>
      </c>
      <c r="D95" s="8" t="n">
        <f aca="false">C95/SUM($C$2:$C$108)</f>
        <v>0.00014091543792675</v>
      </c>
      <c r="E95" s="8" t="n">
        <f aca="false">E94+D95</f>
        <v>0.999013591934513</v>
      </c>
      <c r="F95" s="7" t="str">
        <f aca="false">IF(E95&lt;=0.7,"A",IF(E95&lt;=0.9,"B","C"))</f>
        <v>C</v>
      </c>
      <c r="G95" s="7" t="n">
        <v>90</v>
      </c>
      <c r="H95" s="7" t="n">
        <v>100</v>
      </c>
    </row>
    <row r="96" customFormat="false" ht="15" hidden="false" customHeight="false" outlineLevel="0" collapsed="false">
      <c r="A96" s="7" t="n">
        <v>95</v>
      </c>
      <c r="B96" s="7" t="s">
        <v>541</v>
      </c>
      <c r="C96" s="7" t="n">
        <v>1.1</v>
      </c>
      <c r="D96" s="8" t="n">
        <f aca="false">C96/SUM($C$2:$C$108)</f>
        <v>0.00014091543792675</v>
      </c>
      <c r="E96" s="8" t="n">
        <f aca="false">E95+D96</f>
        <v>0.99915450737244</v>
      </c>
      <c r="F96" s="7" t="str">
        <f aca="false">IF(E96&lt;=0.7,"A",IF(E96&lt;=0.9,"B","C"))</f>
        <v>C</v>
      </c>
      <c r="G96" s="7" t="n">
        <v>35</v>
      </c>
      <c r="H96" s="7" t="n">
        <v>50</v>
      </c>
    </row>
    <row r="97" customFormat="false" ht="15" hidden="false" customHeight="false" outlineLevel="0" collapsed="false">
      <c r="A97" s="7" t="n">
        <v>96</v>
      </c>
      <c r="B97" s="7" t="s">
        <v>542</v>
      </c>
      <c r="C97" s="7" t="n">
        <v>0.8</v>
      </c>
      <c r="D97" s="8" t="n">
        <f aca="false">C97/SUM($C$2:$C$108)</f>
        <v>0.000102483954855818</v>
      </c>
      <c r="E97" s="8" t="n">
        <f aca="false">E96+D97</f>
        <v>0.999256991327295</v>
      </c>
      <c r="F97" s="7" t="str">
        <f aca="false">IF(E97&lt;=0.7,"A",IF(E97&lt;=0.9,"B","C"))</f>
        <v>C</v>
      </c>
      <c r="G97" s="7" t="n">
        <v>1</v>
      </c>
      <c r="H97" s="7" t="n">
        <v>50</v>
      </c>
    </row>
    <row r="98" customFormat="false" ht="15" hidden="false" customHeight="false" outlineLevel="0" collapsed="false">
      <c r="A98" s="7" t="n">
        <v>97</v>
      </c>
      <c r="B98" s="7" t="s">
        <v>543</v>
      </c>
      <c r="C98" s="7" t="n">
        <v>0.8</v>
      </c>
      <c r="D98" s="8" t="n">
        <f aca="false">C98/SUM($C$2:$C$108)</f>
        <v>0.000102483954855818</v>
      </c>
      <c r="E98" s="8" t="n">
        <f aca="false">E97+D98</f>
        <v>0.999359475282151</v>
      </c>
      <c r="F98" s="7" t="str">
        <f aca="false">IF(E98&lt;=0.7,"A",IF(E98&lt;=0.9,"B","C"))</f>
        <v>C</v>
      </c>
      <c r="G98" s="7" t="n">
        <v>4</v>
      </c>
      <c r="H98" s="7" t="n">
        <v>50</v>
      </c>
    </row>
    <row r="99" customFormat="false" ht="15" hidden="false" customHeight="false" outlineLevel="0" collapsed="false">
      <c r="A99" s="7" t="n">
        <v>98</v>
      </c>
      <c r="B99" s="7" t="s">
        <v>544</v>
      </c>
      <c r="C99" s="7" t="n">
        <v>0.8</v>
      </c>
      <c r="D99" s="8" t="n">
        <f aca="false">C99/SUM($C$2:$C$108)</f>
        <v>0.000102483954855818</v>
      </c>
      <c r="E99" s="8" t="n">
        <f aca="false">E98+D99</f>
        <v>0.999461959237007</v>
      </c>
      <c r="F99" s="7" t="str">
        <f aca="false">IF(E99&lt;=0.7,"A",IF(E99&lt;=0.9,"B","C"))</f>
        <v>C</v>
      </c>
      <c r="G99" s="7" t="n">
        <v>12</v>
      </c>
      <c r="H99" s="7" t="n">
        <v>0</v>
      </c>
    </row>
    <row r="100" customFormat="false" ht="15" hidden="false" customHeight="false" outlineLevel="0" collapsed="false">
      <c r="A100" s="7" t="n">
        <v>99</v>
      </c>
      <c r="B100" s="7" t="s">
        <v>545</v>
      </c>
      <c r="C100" s="7" t="n">
        <v>0.8</v>
      </c>
      <c r="D100" s="8" t="n">
        <f aca="false">C100/SUM($C$2:$C$108)</f>
        <v>0.000102483954855818</v>
      </c>
      <c r="E100" s="8" t="n">
        <f aca="false">E99+D100</f>
        <v>0.999564443191863</v>
      </c>
      <c r="F100" s="7" t="str">
        <f aca="false">IF(E100&lt;=0.7,"A",IF(E100&lt;=0.9,"B","C"))</f>
        <v>C</v>
      </c>
      <c r="G100" s="7" t="n">
        <v>12</v>
      </c>
      <c r="H100" s="7" t="n">
        <v>50</v>
      </c>
    </row>
    <row r="101" customFormat="false" ht="15" hidden="false" customHeight="false" outlineLevel="0" collapsed="false">
      <c r="A101" s="7" t="n">
        <v>100</v>
      </c>
      <c r="B101" s="7" t="s">
        <v>546</v>
      </c>
      <c r="C101" s="7" t="n">
        <v>0.5</v>
      </c>
      <c r="D101" s="8" t="n">
        <f aca="false">C101/SUM($C$2:$C$108)</f>
        <v>6.40524717848862E-005</v>
      </c>
      <c r="E101" s="8" t="n">
        <f aca="false">E100+D101</f>
        <v>0.999628495663648</v>
      </c>
      <c r="F101" s="7" t="str">
        <f aca="false">IF(E101&lt;=0.7,"A",IF(E101&lt;=0.9,"B","C"))</f>
        <v>C</v>
      </c>
      <c r="G101" s="7" t="n">
        <v>1</v>
      </c>
      <c r="H101" s="7" t="n">
        <v>0</v>
      </c>
    </row>
    <row r="102" customFormat="false" ht="15" hidden="false" customHeight="false" outlineLevel="0" collapsed="false">
      <c r="A102" s="7" t="n">
        <v>101</v>
      </c>
      <c r="B102" s="7" t="s">
        <v>547</v>
      </c>
      <c r="C102" s="7" t="n">
        <v>0.5</v>
      </c>
      <c r="D102" s="8" t="n">
        <f aca="false">C102/SUM($C$2:$C$108)</f>
        <v>6.40524717848862E-005</v>
      </c>
      <c r="E102" s="8" t="n">
        <f aca="false">E101+D102</f>
        <v>0.999692548135433</v>
      </c>
      <c r="F102" s="7" t="str">
        <f aca="false">IF(E102&lt;=0.7,"A",IF(E102&lt;=0.9,"B","C"))</f>
        <v>C</v>
      </c>
      <c r="G102" s="7" t="n">
        <v>15</v>
      </c>
      <c r="H102" s="7" t="n">
        <v>50</v>
      </c>
    </row>
    <row r="103" customFormat="false" ht="15" hidden="false" customHeight="false" outlineLevel="0" collapsed="false">
      <c r="A103" s="7" t="n">
        <v>102</v>
      </c>
      <c r="B103" s="7" t="s">
        <v>548</v>
      </c>
      <c r="C103" s="7" t="n">
        <v>0.5</v>
      </c>
      <c r="D103" s="8" t="n">
        <f aca="false">C103/SUM($C$2:$C$108)</f>
        <v>6.40524717848862E-005</v>
      </c>
      <c r="E103" s="8" t="n">
        <f aca="false">E102+D103</f>
        <v>0.999756600607217</v>
      </c>
      <c r="F103" s="7" t="str">
        <f aca="false">IF(E103&lt;=0.7,"A",IF(E103&lt;=0.9,"B","C"))</f>
        <v>C</v>
      </c>
      <c r="G103" s="7" t="n">
        <v>17</v>
      </c>
      <c r="H103" s="7" t="n">
        <v>50</v>
      </c>
    </row>
    <row r="104" customFormat="false" ht="15" hidden="false" customHeight="false" outlineLevel="0" collapsed="false">
      <c r="A104" s="7" t="n">
        <v>103</v>
      </c>
      <c r="B104" s="7" t="s">
        <v>549</v>
      </c>
      <c r="C104" s="7" t="n">
        <v>0.5</v>
      </c>
      <c r="D104" s="8" t="n">
        <f aca="false">C104/SUM($C$2:$C$108)</f>
        <v>6.40524717848862E-005</v>
      </c>
      <c r="E104" s="8" t="n">
        <f aca="false">E103+D104</f>
        <v>0.999820653079002</v>
      </c>
      <c r="F104" s="7" t="str">
        <f aca="false">IF(E104&lt;=0.7,"A",IF(E104&lt;=0.9,"B","C"))</f>
        <v>C</v>
      </c>
      <c r="G104" s="7" t="n">
        <v>58</v>
      </c>
      <c r="H104" s="7" t="n">
        <v>50</v>
      </c>
    </row>
    <row r="105" customFormat="false" ht="15" hidden="false" customHeight="false" outlineLevel="0" collapsed="false">
      <c r="A105" s="7" t="n">
        <v>104</v>
      </c>
      <c r="B105" s="7" t="s">
        <v>550</v>
      </c>
      <c r="C105" s="7" t="n">
        <v>0.5</v>
      </c>
      <c r="D105" s="8" t="n">
        <f aca="false">C105/SUM($C$2:$C$108)</f>
        <v>6.40524717848862E-005</v>
      </c>
      <c r="E105" s="8" t="n">
        <f aca="false">E104+D105</f>
        <v>0.999884705550787</v>
      </c>
      <c r="F105" s="7" t="str">
        <f aca="false">IF(E105&lt;=0.7,"A",IF(E105&lt;=0.9,"B","C"))</f>
        <v>C</v>
      </c>
      <c r="G105" s="7" t="n">
        <v>99</v>
      </c>
      <c r="H105" s="7" t="n">
        <v>0</v>
      </c>
    </row>
    <row r="106" customFormat="false" ht="15" hidden="false" customHeight="false" outlineLevel="0" collapsed="false">
      <c r="A106" s="7" t="n">
        <v>105</v>
      </c>
      <c r="B106" s="7" t="s">
        <v>551</v>
      </c>
      <c r="C106" s="7" t="n">
        <v>0.3</v>
      </c>
      <c r="D106" s="8" t="n">
        <f aca="false">C106/SUM($C$2:$C$108)</f>
        <v>3.84314830709317E-005</v>
      </c>
      <c r="E106" s="8" t="n">
        <f aca="false">E105+D106</f>
        <v>0.999923137033858</v>
      </c>
      <c r="F106" s="7" t="str">
        <f aca="false">IF(E106&lt;=0.7,"A",IF(E106&lt;=0.9,"B","C"))</f>
        <v>C</v>
      </c>
      <c r="G106" s="7" t="n">
        <v>18</v>
      </c>
      <c r="H106" s="7" t="n">
        <v>100</v>
      </c>
    </row>
    <row r="107" customFormat="false" ht="15" hidden="false" customHeight="false" outlineLevel="0" collapsed="false">
      <c r="A107" s="7" t="n">
        <v>106</v>
      </c>
      <c r="B107" s="7" t="s">
        <v>552</v>
      </c>
      <c r="C107" s="7" t="n">
        <v>0.3</v>
      </c>
      <c r="D107" s="8" t="n">
        <f aca="false">C107/SUM($C$2:$C$108)</f>
        <v>3.84314830709317E-005</v>
      </c>
      <c r="E107" s="8" t="n">
        <f aca="false">E106+D107</f>
        <v>0.999961568516929</v>
      </c>
      <c r="F107" s="7" t="str">
        <f aca="false">IF(E107&lt;=0.7,"A",IF(E107&lt;=0.9,"B","C"))</f>
        <v>C</v>
      </c>
      <c r="G107" s="7" t="n">
        <v>2</v>
      </c>
      <c r="H107" s="7" t="n">
        <v>0</v>
      </c>
    </row>
    <row r="108" customFormat="false" ht="15" hidden="false" customHeight="false" outlineLevel="0" collapsed="false">
      <c r="A108" s="7" t="n">
        <v>107</v>
      </c>
      <c r="B108" s="7" t="s">
        <v>553</v>
      </c>
      <c r="C108" s="7" t="n">
        <v>0.3</v>
      </c>
      <c r="D108" s="8" t="n">
        <f aca="false">C108/SUM($C$2:$C$108)</f>
        <v>3.84314830709317E-005</v>
      </c>
      <c r="E108" s="8" t="n">
        <f aca="false">E107+D108</f>
        <v>1</v>
      </c>
      <c r="F108" s="7" t="str">
        <f aca="false">IF(E108&lt;=0.7,"A",IF(E108&lt;=0.9,"B","C"))</f>
        <v>C</v>
      </c>
      <c r="G108" s="7" t="n">
        <v>3</v>
      </c>
      <c r="H108" s="7" t="n">
        <v>0</v>
      </c>
    </row>
    <row r="109" customFormat="false" ht="15" hidden="false" customHeight="false" outlineLevel="0" collapsed="false">
      <c r="A109" s="9" t="n">
        <v>108</v>
      </c>
      <c r="B109" s="9" t="s">
        <v>554</v>
      </c>
      <c r="C109" s="9" t="n">
        <v>0</v>
      </c>
      <c r="D109" s="9"/>
      <c r="E109" s="9"/>
      <c r="F109" s="9" t="s">
        <v>196</v>
      </c>
      <c r="G109" s="9" t="n">
        <v>1</v>
      </c>
      <c r="H109" s="9" t="n">
        <v>50</v>
      </c>
    </row>
    <row r="110" customFormat="false" ht="15" hidden="false" customHeight="false" outlineLevel="0" collapsed="false">
      <c r="A110" s="9" t="n">
        <v>109</v>
      </c>
      <c r="B110" s="9" t="s">
        <v>555</v>
      </c>
      <c r="C110" s="9" t="n">
        <v>0</v>
      </c>
      <c r="D110" s="9"/>
      <c r="E110" s="9"/>
      <c r="F110" s="9" t="s">
        <v>196</v>
      </c>
      <c r="G110" s="9" t="n">
        <v>296</v>
      </c>
      <c r="H110" s="9" t="n">
        <v>50</v>
      </c>
    </row>
    <row r="111" customFormat="false" ht="15" hidden="false" customHeight="false" outlineLevel="0" collapsed="false">
      <c r="A111" s="9" t="n">
        <v>110</v>
      </c>
      <c r="B111" s="9" t="s">
        <v>556</v>
      </c>
      <c r="C111" s="9" t="n">
        <v>0</v>
      </c>
      <c r="D111" s="9"/>
      <c r="E111" s="9"/>
      <c r="F111" s="9" t="s">
        <v>196</v>
      </c>
      <c r="G111" s="9" t="n">
        <v>34</v>
      </c>
      <c r="H111" s="9" t="n">
        <v>50</v>
      </c>
    </row>
    <row r="112" customFormat="false" ht="15" hidden="false" customHeight="false" outlineLevel="0" collapsed="false">
      <c r="A112" s="9" t="n">
        <v>111</v>
      </c>
      <c r="B112" s="9" t="s">
        <v>557</v>
      </c>
      <c r="C112" s="9" t="n">
        <v>0</v>
      </c>
      <c r="D112" s="9"/>
      <c r="E112" s="9"/>
      <c r="F112" s="9" t="s">
        <v>196</v>
      </c>
      <c r="G112" s="9" t="n">
        <v>99</v>
      </c>
      <c r="H112" s="9" t="n">
        <v>0</v>
      </c>
    </row>
    <row r="113" customFormat="false" ht="15" hidden="false" customHeight="false" outlineLevel="0" collapsed="false">
      <c r="A113" s="9" t="n">
        <v>112</v>
      </c>
      <c r="B113" s="9" t="s">
        <v>558</v>
      </c>
      <c r="C113" s="9" t="n">
        <v>0</v>
      </c>
      <c r="D113" s="9"/>
      <c r="E113" s="9"/>
      <c r="F113" s="9" t="s">
        <v>196</v>
      </c>
      <c r="G113" s="9" t="n">
        <v>787</v>
      </c>
      <c r="H113" s="9" t="n">
        <v>0</v>
      </c>
    </row>
    <row r="114" customFormat="false" ht="15" hidden="false" customHeight="false" outlineLevel="0" collapsed="false">
      <c r="A114" s="9" t="n">
        <v>113</v>
      </c>
      <c r="B114" s="9" t="s">
        <v>559</v>
      </c>
      <c r="C114" s="9" t="n">
        <v>0</v>
      </c>
      <c r="D114" s="9"/>
      <c r="E114" s="9"/>
      <c r="F114" s="9" t="s">
        <v>196</v>
      </c>
      <c r="G114" s="9" t="n">
        <v>19</v>
      </c>
      <c r="H114" s="9" t="n">
        <v>0</v>
      </c>
    </row>
    <row r="115" customFormat="false" ht="15" hidden="false" customHeight="false" outlineLevel="0" collapsed="false">
      <c r="A115" s="9" t="n">
        <v>114</v>
      </c>
      <c r="B115" s="9" t="s">
        <v>560</v>
      </c>
      <c r="C115" s="9" t="n">
        <v>0</v>
      </c>
      <c r="D115" s="9"/>
      <c r="E115" s="9"/>
      <c r="F115" s="9" t="s">
        <v>196</v>
      </c>
      <c r="G115" s="9" t="n">
        <v>21</v>
      </c>
      <c r="H115" s="9" t="n">
        <v>0</v>
      </c>
    </row>
    <row r="116" customFormat="false" ht="15" hidden="false" customHeight="false" outlineLevel="0" collapsed="false">
      <c r="A116" s="9" t="n">
        <v>115</v>
      </c>
      <c r="B116" s="9" t="s">
        <v>561</v>
      </c>
      <c r="C116" s="9" t="n">
        <v>0</v>
      </c>
      <c r="D116" s="9"/>
      <c r="E116" s="9"/>
      <c r="F116" s="9" t="s">
        <v>196</v>
      </c>
      <c r="G116" s="9" t="n">
        <v>20</v>
      </c>
      <c r="H116" s="9" t="n">
        <v>0</v>
      </c>
    </row>
    <row r="117" customFormat="false" ht="15" hidden="false" customHeight="false" outlineLevel="0" collapsed="false">
      <c r="A117" s="9" t="n">
        <v>116</v>
      </c>
      <c r="B117" s="9" t="s">
        <v>562</v>
      </c>
      <c r="C117" s="9" t="n">
        <v>0</v>
      </c>
      <c r="D117" s="9"/>
      <c r="E117" s="9"/>
      <c r="F117" s="9" t="s">
        <v>196</v>
      </c>
      <c r="G117" s="9" t="n">
        <v>114</v>
      </c>
      <c r="H117" s="9" t="n">
        <v>50</v>
      </c>
    </row>
    <row r="118" customFormat="false" ht="15" hidden="false" customHeight="false" outlineLevel="0" collapsed="false">
      <c r="A118" s="9" t="n">
        <v>117</v>
      </c>
      <c r="B118" s="9" t="s">
        <v>563</v>
      </c>
      <c r="C118" s="9" t="n">
        <v>0</v>
      </c>
      <c r="D118" s="9"/>
      <c r="E118" s="9"/>
      <c r="F118" s="9" t="s">
        <v>196</v>
      </c>
      <c r="G118" s="9" t="n">
        <v>102</v>
      </c>
      <c r="H118" s="9" t="n">
        <v>0</v>
      </c>
    </row>
    <row r="119" customFormat="false" ht="15" hidden="false" customHeight="false" outlineLevel="0" collapsed="false">
      <c r="A119" s="9" t="n">
        <v>118</v>
      </c>
      <c r="B119" s="9" t="s">
        <v>564</v>
      </c>
      <c r="C119" s="9" t="n">
        <v>0</v>
      </c>
      <c r="D119" s="9"/>
      <c r="E119" s="9"/>
      <c r="F119" s="9" t="s">
        <v>196</v>
      </c>
      <c r="G119" s="9" t="n">
        <v>1</v>
      </c>
      <c r="H119" s="9" t="n">
        <v>50</v>
      </c>
    </row>
    <row r="120" customFormat="false" ht="15" hidden="false" customHeight="false" outlineLevel="0" collapsed="false">
      <c r="A120" s="9" t="n">
        <v>119</v>
      </c>
      <c r="B120" s="9" t="s">
        <v>565</v>
      </c>
      <c r="C120" s="9" t="n">
        <v>0</v>
      </c>
      <c r="D120" s="9"/>
      <c r="E120" s="9"/>
      <c r="F120" s="9" t="s">
        <v>196</v>
      </c>
      <c r="G120" s="9" t="n">
        <v>200</v>
      </c>
      <c r="H120" s="9" t="n">
        <v>0</v>
      </c>
    </row>
    <row r="121" customFormat="false" ht="15" hidden="false" customHeight="false" outlineLevel="0" collapsed="false">
      <c r="A121" s="9" t="n">
        <v>120</v>
      </c>
      <c r="B121" s="9" t="s">
        <v>566</v>
      </c>
      <c r="C121" s="9" t="n">
        <v>0</v>
      </c>
      <c r="D121" s="9"/>
      <c r="E121" s="9"/>
      <c r="F121" s="9" t="s">
        <v>196</v>
      </c>
      <c r="G121" s="9" t="n">
        <v>4</v>
      </c>
      <c r="H121" s="9" t="n">
        <v>50</v>
      </c>
    </row>
    <row r="122" customFormat="false" ht="15" hidden="false" customHeight="false" outlineLevel="0" collapsed="false">
      <c r="A122" s="9" t="n">
        <v>121</v>
      </c>
      <c r="B122" s="9" t="s">
        <v>567</v>
      </c>
      <c r="C122" s="9" t="n">
        <v>0</v>
      </c>
      <c r="D122" s="9"/>
      <c r="E122" s="9"/>
      <c r="F122" s="9" t="s">
        <v>196</v>
      </c>
      <c r="G122" s="9" t="n">
        <v>1</v>
      </c>
      <c r="H122" s="9" t="n">
        <v>50</v>
      </c>
    </row>
    <row r="123" customFormat="false" ht="15" hidden="false" customHeight="false" outlineLevel="0" collapsed="false">
      <c r="A123" s="9" t="n">
        <v>122</v>
      </c>
      <c r="B123" s="9" t="s">
        <v>568</v>
      </c>
      <c r="C123" s="9" t="n">
        <v>0</v>
      </c>
      <c r="D123" s="9"/>
      <c r="E123" s="9"/>
      <c r="F123" s="9" t="s">
        <v>196</v>
      </c>
      <c r="G123" s="9" t="n">
        <v>1</v>
      </c>
      <c r="H123" s="9" t="n">
        <v>50</v>
      </c>
    </row>
    <row r="124" customFormat="false" ht="15" hidden="false" customHeight="false" outlineLevel="0" collapsed="false">
      <c r="A124" s="9" t="n">
        <v>123</v>
      </c>
      <c r="B124" s="9" t="s">
        <v>569</v>
      </c>
      <c r="C124" s="9" t="n">
        <v>0</v>
      </c>
      <c r="D124" s="9"/>
      <c r="E124" s="9"/>
      <c r="F124" s="9" t="s">
        <v>196</v>
      </c>
      <c r="G124" s="9" t="n">
        <v>50</v>
      </c>
      <c r="H124" s="9" t="n">
        <v>0</v>
      </c>
    </row>
    <row r="125" customFormat="false" ht="15" hidden="false" customHeight="false" outlineLevel="0" collapsed="false">
      <c r="A125" s="9" t="n">
        <v>124</v>
      </c>
      <c r="B125" s="9" t="s">
        <v>570</v>
      </c>
      <c r="C125" s="9" t="n">
        <v>0</v>
      </c>
      <c r="D125" s="9"/>
      <c r="E125" s="9"/>
      <c r="F125" s="9" t="s">
        <v>196</v>
      </c>
      <c r="G125" s="9" t="n">
        <v>5</v>
      </c>
      <c r="H125" s="9" t="n">
        <v>50</v>
      </c>
    </row>
    <row r="126" customFormat="false" ht="15" hidden="false" customHeight="false" outlineLevel="0" collapsed="false">
      <c r="A126" s="9" t="n">
        <v>125</v>
      </c>
      <c r="B126" s="9" t="s">
        <v>571</v>
      </c>
      <c r="C126" s="9" t="n">
        <v>0</v>
      </c>
      <c r="D126" s="9"/>
      <c r="E126" s="9"/>
      <c r="F126" s="9" t="s">
        <v>196</v>
      </c>
      <c r="G126" s="9" t="n">
        <v>5</v>
      </c>
      <c r="H126" s="9" t="n">
        <v>50</v>
      </c>
    </row>
    <row r="127" customFormat="false" ht="15" hidden="false" customHeight="false" outlineLevel="0" collapsed="false">
      <c r="A127" s="9" t="n">
        <v>126</v>
      </c>
      <c r="B127" s="9" t="s">
        <v>572</v>
      </c>
      <c r="C127" s="9" t="n">
        <v>0</v>
      </c>
      <c r="D127" s="9"/>
      <c r="E127" s="9"/>
      <c r="F127" s="9" t="s">
        <v>196</v>
      </c>
      <c r="G127" s="9" t="n">
        <v>2</v>
      </c>
      <c r="H127" s="9" t="n">
        <v>0</v>
      </c>
    </row>
    <row r="128" customFormat="false" ht="15" hidden="false" customHeight="false" outlineLevel="0" collapsed="false">
      <c r="A128" s="9" t="n">
        <v>127</v>
      </c>
      <c r="B128" s="9" t="s">
        <v>573</v>
      </c>
      <c r="C128" s="9" t="n">
        <v>0</v>
      </c>
      <c r="D128" s="9"/>
      <c r="E128" s="9"/>
      <c r="F128" s="9" t="s">
        <v>196</v>
      </c>
      <c r="G128" s="9" t="n">
        <v>50</v>
      </c>
      <c r="H128" s="9" t="n">
        <v>0</v>
      </c>
    </row>
    <row r="129" customFormat="false" ht="15" hidden="false" customHeight="false" outlineLevel="0" collapsed="false">
      <c r="A129" s="9" t="n">
        <v>128</v>
      </c>
      <c r="B129" s="9" t="s">
        <v>574</v>
      </c>
      <c r="C129" s="9" t="n">
        <v>0</v>
      </c>
      <c r="D129" s="9"/>
      <c r="E129" s="9"/>
      <c r="F129" s="9" t="s">
        <v>196</v>
      </c>
      <c r="G129" s="9" t="n">
        <v>50</v>
      </c>
      <c r="H129" s="9" t="n">
        <v>0</v>
      </c>
    </row>
    <row r="130" customFormat="false" ht="15" hidden="false" customHeight="false" outlineLevel="0" collapsed="false">
      <c r="A130" s="9" t="n">
        <v>129</v>
      </c>
      <c r="B130" s="9" t="s">
        <v>575</v>
      </c>
      <c r="C130" s="9" t="n">
        <v>0</v>
      </c>
      <c r="D130" s="9"/>
      <c r="E130" s="9"/>
      <c r="F130" s="9" t="s">
        <v>196</v>
      </c>
      <c r="G130" s="9" t="n">
        <v>3</v>
      </c>
      <c r="H130" s="9" t="n">
        <v>50</v>
      </c>
    </row>
    <row r="131" customFormat="false" ht="15" hidden="false" customHeight="false" outlineLevel="0" collapsed="false">
      <c r="A131" s="9" t="n">
        <v>130</v>
      </c>
      <c r="B131" s="9" t="s">
        <v>576</v>
      </c>
      <c r="C131" s="9" t="n">
        <v>0</v>
      </c>
      <c r="D131" s="9"/>
      <c r="E131" s="9"/>
      <c r="F131" s="9" t="s">
        <v>196</v>
      </c>
      <c r="G131" s="9" t="n">
        <v>4</v>
      </c>
      <c r="H131" s="9" t="n">
        <v>50</v>
      </c>
    </row>
    <row r="132" customFormat="false" ht="15" hidden="false" customHeight="false" outlineLevel="0" collapsed="false">
      <c r="A132" s="9" t="n">
        <v>131</v>
      </c>
      <c r="B132" s="9" t="s">
        <v>577</v>
      </c>
      <c r="C132" s="9" t="n">
        <v>0</v>
      </c>
      <c r="D132" s="9"/>
      <c r="E132" s="9"/>
      <c r="F132" s="9" t="s">
        <v>196</v>
      </c>
      <c r="G132" s="9" t="n">
        <v>6</v>
      </c>
      <c r="H132" s="9" t="n">
        <v>50</v>
      </c>
    </row>
    <row r="133" customFormat="false" ht="15" hidden="false" customHeight="false" outlineLevel="0" collapsed="false">
      <c r="A133" s="9" t="n">
        <v>132</v>
      </c>
      <c r="B133" s="9" t="s">
        <v>578</v>
      </c>
      <c r="C133" s="9" t="n">
        <v>0</v>
      </c>
      <c r="D133" s="9"/>
      <c r="E133" s="9"/>
      <c r="F133" s="9" t="s">
        <v>196</v>
      </c>
      <c r="G133" s="9" t="n">
        <v>1</v>
      </c>
      <c r="H133" s="9" t="n">
        <v>50</v>
      </c>
    </row>
    <row r="134" customFormat="false" ht="15" hidden="false" customHeight="false" outlineLevel="0" collapsed="false">
      <c r="A134" s="9" t="n">
        <v>133</v>
      </c>
      <c r="B134" s="9" t="s">
        <v>579</v>
      </c>
      <c r="C134" s="9" t="n">
        <v>0</v>
      </c>
      <c r="D134" s="9"/>
      <c r="E134" s="9"/>
      <c r="F134" s="9" t="s">
        <v>196</v>
      </c>
      <c r="G134" s="9" t="n">
        <v>3</v>
      </c>
      <c r="H134" s="9" t="n">
        <v>0</v>
      </c>
    </row>
    <row r="135" customFormat="false" ht="15" hidden="false" customHeight="false" outlineLevel="0" collapsed="false">
      <c r="A135" s="9" t="n">
        <v>134</v>
      </c>
      <c r="B135" s="9" t="s">
        <v>580</v>
      </c>
      <c r="C135" s="9" t="n">
        <v>0</v>
      </c>
      <c r="D135" s="9"/>
      <c r="E135" s="9"/>
      <c r="F135" s="9" t="s">
        <v>196</v>
      </c>
      <c r="G135" s="9" t="n">
        <v>30</v>
      </c>
      <c r="H135" s="9" t="n">
        <v>0</v>
      </c>
    </row>
    <row r="136" customFormat="false" ht="15" hidden="false" customHeight="false" outlineLevel="0" collapsed="false">
      <c r="A136" s="9" t="n">
        <v>135</v>
      </c>
      <c r="B136" s="9" t="s">
        <v>581</v>
      </c>
      <c r="C136" s="9" t="n">
        <v>0</v>
      </c>
      <c r="D136" s="9"/>
      <c r="E136" s="9"/>
      <c r="F136" s="9" t="s">
        <v>196</v>
      </c>
      <c r="G136" s="9" t="n">
        <v>30</v>
      </c>
      <c r="H136" s="9" t="n">
        <v>0</v>
      </c>
    </row>
  </sheetData>
  <conditionalFormatting sqref="F2:F136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582</v>
      </c>
      <c r="C2" s="7" t="n">
        <v>12451.9</v>
      </c>
      <c r="D2" s="8" t="n">
        <f aca="false">C2/SUM($C$2:$C$32)</f>
        <v>0.299090854500691</v>
      </c>
      <c r="E2" s="8" t="n">
        <f aca="false">D2</f>
        <v>0.299090854500691</v>
      </c>
      <c r="F2" s="7" t="str">
        <f aca="false">IF(E2&lt;=0.7,"A",IF(E2&lt;=0.9,"B","C"))</f>
        <v>A</v>
      </c>
      <c r="G2" s="7" t="n">
        <v>4760</v>
      </c>
      <c r="H2" s="7" t="n">
        <v>29850</v>
      </c>
    </row>
    <row r="3" customFormat="false" ht="15" hidden="false" customHeight="false" outlineLevel="0" collapsed="false">
      <c r="A3" s="7" t="n">
        <v>2</v>
      </c>
      <c r="B3" s="7" t="s">
        <v>583</v>
      </c>
      <c r="C3" s="7" t="n">
        <v>6505.7</v>
      </c>
      <c r="D3" s="8" t="n">
        <f aca="false">C3/SUM($C$2:$C$32)</f>
        <v>0.156264937248544</v>
      </c>
      <c r="E3" s="8" t="n">
        <f aca="false">E2+D3</f>
        <v>0.455355791749234</v>
      </c>
      <c r="F3" s="7" t="str">
        <f aca="false">IF(E3&lt;=0.7,"A",IF(E3&lt;=0.9,"B","C"))</f>
        <v>A</v>
      </c>
      <c r="G3" s="7" t="n">
        <v>1681</v>
      </c>
      <c r="H3" s="7" t="n">
        <v>10000</v>
      </c>
    </row>
    <row r="4" customFormat="false" ht="15" hidden="false" customHeight="false" outlineLevel="0" collapsed="false">
      <c r="A4" s="7" t="n">
        <v>3</v>
      </c>
      <c r="B4" s="7" t="s">
        <v>584</v>
      </c>
      <c r="C4" s="7" t="n">
        <v>5763</v>
      </c>
      <c r="D4" s="8" t="n">
        <f aca="false">C4/SUM($C$2:$C$32)</f>
        <v>0.138425508917312</v>
      </c>
      <c r="E4" s="8" t="n">
        <f aca="false">E3+D4</f>
        <v>0.593781300666547</v>
      </c>
      <c r="F4" s="7" t="str">
        <f aca="false">IF(E4&lt;=0.7,"A",IF(E4&lt;=0.9,"B","C"))</f>
        <v>A</v>
      </c>
      <c r="G4" s="7" t="n">
        <v>7662</v>
      </c>
      <c r="H4" s="7" t="n">
        <v>10000</v>
      </c>
    </row>
    <row r="5" customFormat="false" ht="15" hidden="false" customHeight="false" outlineLevel="0" collapsed="false">
      <c r="A5" s="7" t="n">
        <v>4</v>
      </c>
      <c r="B5" s="7" t="s">
        <v>585</v>
      </c>
      <c r="C5" s="7" t="n">
        <v>2495.4</v>
      </c>
      <c r="D5" s="8" t="n">
        <f aca="false">C5/SUM($C$2:$C$32)</f>
        <v>0.0599387497748154</v>
      </c>
      <c r="E5" s="8" t="n">
        <f aca="false">E4+D5</f>
        <v>0.653720050441362</v>
      </c>
      <c r="F5" s="7" t="str">
        <f aca="false">IF(E5&lt;=0.7,"A",IF(E5&lt;=0.9,"B","C"))</f>
        <v>A</v>
      </c>
      <c r="G5" s="7" t="n">
        <v>3470</v>
      </c>
      <c r="H5" s="7" t="n">
        <v>5000</v>
      </c>
    </row>
    <row r="6" customFormat="false" ht="15" hidden="false" customHeight="false" outlineLevel="0" collapsed="false">
      <c r="A6" s="7" t="n">
        <v>5</v>
      </c>
      <c r="B6" s="7" t="s">
        <v>586</v>
      </c>
      <c r="C6" s="7" t="n">
        <v>2472.2</v>
      </c>
      <c r="D6" s="8" t="n">
        <f aca="false">C6/SUM($C$2:$C$32)</f>
        <v>0.0593814928241158</v>
      </c>
      <c r="E6" s="8" t="n">
        <f aca="false">E5+D6</f>
        <v>0.713101543265478</v>
      </c>
      <c r="F6" s="7" t="str">
        <f aca="false">IF(E6&lt;=0.7,"A",IF(E6&lt;=0.9,"B","C"))</f>
        <v>B</v>
      </c>
      <c r="G6" s="7" t="n">
        <v>15702</v>
      </c>
      <c r="H6" s="7" t="n">
        <v>5000</v>
      </c>
    </row>
    <row r="7" customFormat="false" ht="15" hidden="false" customHeight="false" outlineLevel="0" collapsed="false">
      <c r="A7" s="7" t="n">
        <v>6</v>
      </c>
      <c r="B7" s="7" t="s">
        <v>587</v>
      </c>
      <c r="C7" s="7" t="n">
        <v>2104.6</v>
      </c>
      <c r="D7" s="8" t="n">
        <f aca="false">C7/SUM($C$2:$C$32)</f>
        <v>0.0505518525190656</v>
      </c>
      <c r="E7" s="8" t="n">
        <f aca="false">E6+D7</f>
        <v>0.763653395784543</v>
      </c>
      <c r="F7" s="7" t="str">
        <f aca="false">IF(E7&lt;=0.7,"A",IF(E7&lt;=0.9,"B","C"))</f>
        <v>B</v>
      </c>
      <c r="G7" s="7" t="n">
        <v>3318</v>
      </c>
      <c r="H7" s="7" t="n">
        <v>3900</v>
      </c>
    </row>
    <row r="8" customFormat="false" ht="15" hidden="false" customHeight="false" outlineLevel="0" collapsed="false">
      <c r="A8" s="7" t="n">
        <v>7</v>
      </c>
      <c r="B8" s="7" t="s">
        <v>588</v>
      </c>
      <c r="C8" s="7" t="n">
        <v>1790</v>
      </c>
      <c r="D8" s="8" t="n">
        <f aca="false">C8/SUM($C$2:$C$32)</f>
        <v>0.0429952561100102</v>
      </c>
      <c r="E8" s="8" t="n">
        <f aca="false">E7+D8</f>
        <v>0.806648651894554</v>
      </c>
      <c r="F8" s="7" t="str">
        <f aca="false">IF(E8&lt;=0.7,"A",IF(E8&lt;=0.9,"B","C"))</f>
        <v>B</v>
      </c>
      <c r="G8" s="7" t="n">
        <v>1944</v>
      </c>
      <c r="H8" s="7" t="n">
        <v>1150</v>
      </c>
    </row>
    <row r="9" customFormat="false" ht="15" hidden="false" customHeight="false" outlineLevel="0" collapsed="false">
      <c r="A9" s="7" t="n">
        <v>8</v>
      </c>
      <c r="B9" s="7" t="s">
        <v>589</v>
      </c>
      <c r="C9" s="7" t="n">
        <v>1592.7</v>
      </c>
      <c r="D9" s="8" t="n">
        <f aca="false">C9/SUM($C$2:$C$32)</f>
        <v>0.0382561700594488</v>
      </c>
      <c r="E9" s="8" t="n">
        <f aca="false">E8+D9</f>
        <v>0.844904821954002</v>
      </c>
      <c r="F9" s="7" t="str">
        <f aca="false">IF(E9&lt;=0.7,"A",IF(E9&lt;=0.9,"B","C"))</f>
        <v>B</v>
      </c>
      <c r="G9" s="7" t="n">
        <v>2691</v>
      </c>
      <c r="H9" s="7" t="n">
        <v>1200</v>
      </c>
    </row>
    <row r="10" customFormat="false" ht="15" hidden="false" customHeight="false" outlineLevel="0" collapsed="false">
      <c r="A10" s="7" t="n">
        <v>9</v>
      </c>
      <c r="B10" s="7" t="s">
        <v>590</v>
      </c>
      <c r="C10" s="7" t="n">
        <v>1206.5</v>
      </c>
      <c r="D10" s="8" t="n">
        <f aca="false">C10/SUM($C$2:$C$32)</f>
        <v>0.0289797634059929</v>
      </c>
      <c r="E10" s="8" t="n">
        <f aca="false">E9+D10</f>
        <v>0.873884585359995</v>
      </c>
      <c r="F10" s="7" t="str">
        <f aca="false">IF(E10&lt;=0.7,"A",IF(E10&lt;=0.9,"B","C"))</f>
        <v>B</v>
      </c>
      <c r="G10" s="7" t="n">
        <v>879</v>
      </c>
      <c r="H10" s="7" t="n">
        <v>1600</v>
      </c>
    </row>
    <row r="11" customFormat="false" ht="15" hidden="false" customHeight="false" outlineLevel="0" collapsed="false">
      <c r="A11" s="7" t="n">
        <v>10</v>
      </c>
      <c r="B11" s="7" t="s">
        <v>591</v>
      </c>
      <c r="C11" s="7" t="n">
        <v>948.4</v>
      </c>
      <c r="D11" s="8" t="n">
        <f aca="false">C11/SUM($C$2:$C$32)</f>
        <v>0.0227802798294602</v>
      </c>
      <c r="E11" s="8" t="n">
        <f aca="false">E10+D11</f>
        <v>0.896664865189455</v>
      </c>
      <c r="F11" s="7" t="str">
        <f aca="false">IF(E11&lt;=0.7,"A",IF(E11&lt;=0.9,"B","C"))</f>
        <v>B</v>
      </c>
      <c r="G11" s="7" t="n">
        <v>1338</v>
      </c>
      <c r="H11" s="7" t="n">
        <v>650</v>
      </c>
    </row>
    <row r="12" customFormat="false" ht="15" hidden="false" customHeight="false" outlineLevel="0" collapsed="false">
      <c r="A12" s="7" t="n">
        <v>11</v>
      </c>
      <c r="B12" s="7" t="s">
        <v>592</v>
      </c>
      <c r="C12" s="7" t="n">
        <v>814.9</v>
      </c>
      <c r="D12" s="8" t="n">
        <f aca="false">C12/SUM($C$2:$C$32)</f>
        <v>0.0195736503933225</v>
      </c>
      <c r="E12" s="8" t="n">
        <f aca="false">E11+D12</f>
        <v>0.916238515582778</v>
      </c>
      <c r="F12" s="7" t="str">
        <f aca="false">IF(E12&lt;=0.7,"A",IF(E12&lt;=0.9,"B","C"))</f>
        <v>C</v>
      </c>
      <c r="G12" s="7" t="n">
        <v>7067</v>
      </c>
      <c r="H12" s="7" t="n">
        <v>750</v>
      </c>
    </row>
    <row r="13" customFormat="false" ht="15" hidden="false" customHeight="false" outlineLevel="0" collapsed="false">
      <c r="A13" s="7" t="n">
        <v>12</v>
      </c>
      <c r="B13" s="7" t="s">
        <v>593</v>
      </c>
      <c r="C13" s="7" t="n">
        <v>738.9</v>
      </c>
      <c r="D13" s="8" t="n">
        <f aca="false">C13/SUM($C$2:$C$32)</f>
        <v>0.0177481534858584</v>
      </c>
      <c r="E13" s="8" t="n">
        <f aca="false">E12+D13</f>
        <v>0.933986669068636</v>
      </c>
      <c r="F13" s="7" t="str">
        <f aca="false">IF(E13&lt;=0.7,"A",IF(E13&lt;=0.9,"B","C"))</f>
        <v>C</v>
      </c>
      <c r="G13" s="7" t="n">
        <v>3867</v>
      </c>
      <c r="H13" s="7" t="n">
        <v>700</v>
      </c>
    </row>
    <row r="14" customFormat="false" ht="15" hidden="false" customHeight="false" outlineLevel="0" collapsed="false">
      <c r="A14" s="7" t="n">
        <v>13</v>
      </c>
      <c r="B14" s="7" t="s">
        <v>594</v>
      </c>
      <c r="C14" s="7" t="n">
        <v>723</v>
      </c>
      <c r="D14" s="8" t="n">
        <f aca="false">C14/SUM($C$2:$C$32)</f>
        <v>0.01736624031706</v>
      </c>
      <c r="E14" s="8" t="n">
        <f aca="false">E13+D14</f>
        <v>0.951352909385696</v>
      </c>
      <c r="F14" s="7" t="str">
        <f aca="false">IF(E14&lt;=0.7,"A",IF(E14&lt;=0.9,"B","C"))</f>
        <v>C</v>
      </c>
      <c r="G14" s="7" t="n">
        <v>2321</v>
      </c>
      <c r="H14" s="7" t="n">
        <v>750</v>
      </c>
    </row>
    <row r="15" customFormat="false" ht="15" hidden="false" customHeight="false" outlineLevel="0" collapsed="false">
      <c r="A15" s="7" t="n">
        <v>14</v>
      </c>
      <c r="B15" s="7" t="s">
        <v>595</v>
      </c>
      <c r="C15" s="7" t="n">
        <v>656.8</v>
      </c>
      <c r="D15" s="8" t="n">
        <f aca="false">C15/SUM($C$2:$C$32)</f>
        <v>0.0157761364318741</v>
      </c>
      <c r="E15" s="8" t="n">
        <f aca="false">E14+D15</f>
        <v>0.96712904581757</v>
      </c>
      <c r="F15" s="7" t="str">
        <f aca="false">IF(E15&lt;=0.7,"A",IF(E15&lt;=0.9,"B","C"))</f>
        <v>C</v>
      </c>
      <c r="G15" s="7" t="n">
        <v>137</v>
      </c>
      <c r="H15" s="7" t="n">
        <v>5000</v>
      </c>
    </row>
    <row r="16" customFormat="false" ht="15" hidden="false" customHeight="false" outlineLevel="0" collapsed="false">
      <c r="A16" s="7" t="n">
        <v>15</v>
      </c>
      <c r="B16" s="7" t="s">
        <v>596</v>
      </c>
      <c r="C16" s="7" t="n">
        <v>328.1</v>
      </c>
      <c r="D16" s="8" t="n">
        <f aca="false">C16/SUM($C$2:$C$32)</f>
        <v>0.00788086230709182</v>
      </c>
      <c r="E16" s="8" t="n">
        <f aca="false">E15+D16</f>
        <v>0.975009908124662</v>
      </c>
      <c r="F16" s="7" t="str">
        <f aca="false">IF(E16&lt;=0.7,"A",IF(E16&lt;=0.9,"B","C"))</f>
        <v>C</v>
      </c>
      <c r="G16" s="7" t="n">
        <v>4987</v>
      </c>
      <c r="H16" s="7" t="n">
        <v>700</v>
      </c>
    </row>
    <row r="17" customFormat="false" ht="15" hidden="false" customHeight="false" outlineLevel="0" collapsed="false">
      <c r="A17" s="7" t="n">
        <v>16</v>
      </c>
      <c r="B17" s="7" t="s">
        <v>597</v>
      </c>
      <c r="C17" s="7" t="n">
        <v>327.8</v>
      </c>
      <c r="D17" s="8" t="n">
        <f aca="false">C17/SUM($C$2:$C$32)</f>
        <v>0.00787365639824656</v>
      </c>
      <c r="E17" s="8" t="n">
        <f aca="false">E16+D17</f>
        <v>0.982883564522909</v>
      </c>
      <c r="F17" s="7" t="str">
        <f aca="false">IF(E17&lt;=0.7,"A",IF(E17&lt;=0.9,"B","C"))</f>
        <v>C</v>
      </c>
      <c r="G17" s="7" t="n">
        <v>1605</v>
      </c>
      <c r="H17" s="7" t="n">
        <v>400</v>
      </c>
    </row>
    <row r="18" customFormat="false" ht="15" hidden="false" customHeight="false" outlineLevel="0" collapsed="false">
      <c r="A18" s="7" t="n">
        <v>17</v>
      </c>
      <c r="B18" s="7" t="s">
        <v>598</v>
      </c>
      <c r="C18" s="7" t="n">
        <v>222.2</v>
      </c>
      <c r="D18" s="8" t="n">
        <f aca="false">C18/SUM($C$2:$C$32)</f>
        <v>0.00533717648471747</v>
      </c>
      <c r="E18" s="8" t="n">
        <f aca="false">E17+D18</f>
        <v>0.988220741007626</v>
      </c>
      <c r="F18" s="7" t="str">
        <f aca="false">IF(E18&lt;=0.7,"A",IF(E18&lt;=0.9,"B","C"))</f>
        <v>C</v>
      </c>
      <c r="G18" s="7" t="n">
        <v>529</v>
      </c>
      <c r="H18" s="7" t="n">
        <v>1900</v>
      </c>
    </row>
    <row r="19" customFormat="false" ht="15" hidden="false" customHeight="false" outlineLevel="0" collapsed="false">
      <c r="A19" s="7" t="n">
        <v>18</v>
      </c>
      <c r="B19" s="7" t="s">
        <v>599</v>
      </c>
      <c r="C19" s="7" t="n">
        <v>128.4</v>
      </c>
      <c r="D19" s="8" t="n">
        <f aca="false">C19/SUM($C$2:$C$32)</f>
        <v>0.00308412898576833</v>
      </c>
      <c r="E19" s="8" t="n">
        <f aca="false">E18+D19</f>
        <v>0.991304869993395</v>
      </c>
      <c r="F19" s="7" t="str">
        <f aca="false">IF(E19&lt;=0.7,"A",IF(E19&lt;=0.9,"B","C"))</f>
        <v>C</v>
      </c>
      <c r="G19" s="7" t="n">
        <v>2463</v>
      </c>
      <c r="H19" s="7" t="n">
        <v>150</v>
      </c>
    </row>
    <row r="20" customFormat="false" ht="15" hidden="false" customHeight="false" outlineLevel="0" collapsed="false">
      <c r="A20" s="7" t="n">
        <v>19</v>
      </c>
      <c r="B20" s="7" t="s">
        <v>600</v>
      </c>
      <c r="C20" s="7" t="n">
        <v>84.6</v>
      </c>
      <c r="D20" s="8" t="n">
        <f aca="false">C20/SUM($C$2:$C$32)</f>
        <v>0.00203206629436138</v>
      </c>
      <c r="E20" s="8" t="n">
        <f aca="false">E19+D20</f>
        <v>0.993336936287756</v>
      </c>
      <c r="F20" s="7" t="str">
        <f aca="false">IF(E20&lt;=0.7,"A",IF(E20&lt;=0.9,"B","C"))</f>
        <v>C</v>
      </c>
      <c r="G20" s="7" t="n">
        <v>2105</v>
      </c>
      <c r="H20" s="7" t="n">
        <v>100</v>
      </c>
    </row>
    <row r="21" customFormat="false" ht="15" hidden="false" customHeight="false" outlineLevel="0" collapsed="false">
      <c r="A21" s="7" t="n">
        <v>20</v>
      </c>
      <c r="B21" s="7" t="s">
        <v>601</v>
      </c>
      <c r="C21" s="7" t="n">
        <v>73.8</v>
      </c>
      <c r="D21" s="8" t="n">
        <f aca="false">C21/SUM($C$2:$C$32)</f>
        <v>0.00177265357593226</v>
      </c>
      <c r="E21" s="8" t="n">
        <f aca="false">E20+D21</f>
        <v>0.995109589863688</v>
      </c>
      <c r="F21" s="7" t="str">
        <f aca="false">IF(E21&lt;=0.7,"A",IF(E21&lt;=0.9,"B","C"))</f>
        <v>C</v>
      </c>
      <c r="G21" s="7" t="n">
        <v>503</v>
      </c>
      <c r="H21" s="7" t="n">
        <v>1000</v>
      </c>
    </row>
    <row r="22" customFormat="false" ht="15" hidden="false" customHeight="false" outlineLevel="0" collapsed="false">
      <c r="A22" s="7" t="n">
        <v>21</v>
      </c>
      <c r="B22" s="7" t="s">
        <v>602</v>
      </c>
      <c r="C22" s="7" t="n">
        <v>68.4</v>
      </c>
      <c r="D22" s="8" t="n">
        <f aca="false">C22/SUM($C$2:$C$32)</f>
        <v>0.00164294721671771</v>
      </c>
      <c r="E22" s="8" t="n">
        <f aca="false">E21+D22</f>
        <v>0.996752537080406</v>
      </c>
      <c r="F22" s="7" t="str">
        <f aca="false">IF(E22&lt;=0.7,"A",IF(E22&lt;=0.9,"B","C"))</f>
        <v>C</v>
      </c>
      <c r="G22" s="7" t="n">
        <v>197</v>
      </c>
      <c r="H22" s="7" t="n">
        <v>50</v>
      </c>
    </row>
    <row r="23" customFormat="false" ht="15" hidden="false" customHeight="false" outlineLevel="0" collapsed="false">
      <c r="A23" s="7" t="n">
        <v>22</v>
      </c>
      <c r="B23" s="7" t="s">
        <v>603</v>
      </c>
      <c r="C23" s="7" t="n">
        <v>37.3</v>
      </c>
      <c r="D23" s="8" t="n">
        <f aca="false">C23/SUM($C$2:$C$32)</f>
        <v>0.00089593466642647</v>
      </c>
      <c r="E23" s="8" t="n">
        <f aca="false">E22+D23</f>
        <v>0.997648471746833</v>
      </c>
      <c r="F23" s="7" t="str">
        <f aca="false">IF(E23&lt;=0.7,"A",IF(E23&lt;=0.9,"B","C"))</f>
        <v>C</v>
      </c>
      <c r="G23" s="7" t="n">
        <v>105</v>
      </c>
      <c r="H23" s="7" t="n">
        <v>950</v>
      </c>
    </row>
    <row r="24" customFormat="false" ht="15" hidden="false" customHeight="false" outlineLevel="0" collapsed="false">
      <c r="A24" s="7" t="n">
        <v>23</v>
      </c>
      <c r="B24" s="7" t="s">
        <v>604</v>
      </c>
      <c r="C24" s="7" t="n">
        <v>27.6</v>
      </c>
      <c r="D24" s="8" t="n">
        <f aca="false">C24/SUM($C$2:$C$32)</f>
        <v>0.000662943613763286</v>
      </c>
      <c r="E24" s="8" t="n">
        <f aca="false">E23+D24</f>
        <v>0.998311415360596</v>
      </c>
      <c r="F24" s="7" t="str">
        <f aca="false">IF(E24&lt;=0.7,"A",IF(E24&lt;=0.9,"B","C"))</f>
        <v>C</v>
      </c>
      <c r="G24" s="7" t="n">
        <v>2047</v>
      </c>
      <c r="H24" s="7" t="n">
        <v>50</v>
      </c>
    </row>
    <row r="25" customFormat="false" ht="15" hidden="false" customHeight="false" outlineLevel="0" collapsed="false">
      <c r="A25" s="7" t="n">
        <v>24</v>
      </c>
      <c r="B25" s="7" t="s">
        <v>605</v>
      </c>
      <c r="C25" s="7" t="n">
        <v>22.7</v>
      </c>
      <c r="D25" s="8" t="n">
        <f aca="false">C25/SUM($C$2:$C$32)</f>
        <v>0.000545247102624152</v>
      </c>
      <c r="E25" s="8" t="n">
        <f aca="false">E24+D25</f>
        <v>0.99885666246322</v>
      </c>
      <c r="F25" s="7" t="str">
        <f aca="false">IF(E25&lt;=0.7,"A",IF(E25&lt;=0.9,"B","C"))</f>
        <v>C</v>
      </c>
      <c r="G25" s="7" t="n">
        <v>654</v>
      </c>
      <c r="H25" s="7" t="n">
        <v>100</v>
      </c>
    </row>
    <row r="26" customFormat="false" ht="15" hidden="false" customHeight="false" outlineLevel="0" collapsed="false">
      <c r="A26" s="7" t="n">
        <v>25</v>
      </c>
      <c r="B26" s="7" t="s">
        <v>606</v>
      </c>
      <c r="C26" s="7" t="n">
        <v>18.9</v>
      </c>
      <c r="D26" s="8" t="n">
        <f aca="false">C26/SUM($C$2:$C$32)</f>
        <v>0.000453972257250946</v>
      </c>
      <c r="E26" s="8" t="n">
        <f aca="false">E25+D26</f>
        <v>0.999310634720471</v>
      </c>
      <c r="F26" s="7" t="str">
        <f aca="false">IF(E26&lt;=0.7,"A",IF(E26&lt;=0.9,"B","C"))</f>
        <v>C</v>
      </c>
      <c r="G26" s="7" t="n">
        <v>15</v>
      </c>
      <c r="H26" s="7" t="n">
        <v>0</v>
      </c>
    </row>
    <row r="27" customFormat="false" ht="15" hidden="false" customHeight="false" outlineLevel="0" collapsed="false">
      <c r="A27" s="7" t="n">
        <v>26</v>
      </c>
      <c r="B27" s="7" t="s">
        <v>607</v>
      </c>
      <c r="C27" s="7" t="n">
        <v>13.5</v>
      </c>
      <c r="D27" s="8" t="n">
        <f aca="false">C27/SUM($C$2:$C$32)</f>
        <v>0.00032426589803639</v>
      </c>
      <c r="E27" s="8" t="n">
        <f aca="false">E26+D27</f>
        <v>0.999634900618507</v>
      </c>
      <c r="F27" s="7" t="str">
        <f aca="false">IF(E27&lt;=0.7,"A",IF(E27&lt;=0.9,"B","C"))</f>
        <v>C</v>
      </c>
      <c r="G27" s="7" t="n">
        <v>91</v>
      </c>
      <c r="H27" s="7" t="n">
        <v>50</v>
      </c>
    </row>
    <row r="28" customFormat="false" ht="15" hidden="false" customHeight="false" outlineLevel="0" collapsed="false">
      <c r="A28" s="7" t="n">
        <v>27</v>
      </c>
      <c r="B28" s="7" t="s">
        <v>608</v>
      </c>
      <c r="C28" s="7" t="n">
        <v>8.1</v>
      </c>
      <c r="D28" s="8" t="n">
        <f aca="false">C28/SUM($C$2:$C$32)</f>
        <v>0.000194559538821834</v>
      </c>
      <c r="E28" s="8" t="n">
        <f aca="false">E27+D28</f>
        <v>0.999829460157329</v>
      </c>
      <c r="F28" s="7" t="str">
        <f aca="false">IF(E28&lt;=0.7,"A",IF(E28&lt;=0.9,"B","C"))</f>
        <v>C</v>
      </c>
      <c r="G28" s="7" t="n">
        <v>231</v>
      </c>
      <c r="H28" s="7" t="n">
        <v>50</v>
      </c>
    </row>
    <row r="29" customFormat="false" ht="15" hidden="false" customHeight="false" outlineLevel="0" collapsed="false">
      <c r="A29" s="7" t="n">
        <v>28</v>
      </c>
      <c r="B29" s="7" t="s">
        <v>609</v>
      </c>
      <c r="C29" s="7" t="n">
        <v>3</v>
      </c>
      <c r="D29" s="8" t="n">
        <f aca="false">C29/SUM($C$2:$C$32)</f>
        <v>7.20590884525311E-005</v>
      </c>
      <c r="E29" s="8" t="n">
        <f aca="false">E28+D29</f>
        <v>0.999901519245782</v>
      </c>
      <c r="F29" s="7" t="str">
        <f aca="false">IF(E29&lt;=0.7,"A",IF(E29&lt;=0.9,"B","C"))</f>
        <v>C</v>
      </c>
      <c r="G29" s="7" t="n">
        <v>177</v>
      </c>
      <c r="H29" s="7" t="n">
        <v>800</v>
      </c>
    </row>
    <row r="30" customFormat="false" ht="15" hidden="false" customHeight="false" outlineLevel="0" collapsed="false">
      <c r="A30" s="7" t="n">
        <v>29</v>
      </c>
      <c r="B30" s="7" t="s">
        <v>610</v>
      </c>
      <c r="C30" s="7" t="n">
        <v>2.2</v>
      </c>
      <c r="D30" s="8" t="n">
        <f aca="false">C30/SUM($C$2:$C$32)</f>
        <v>5.28433315318561E-005</v>
      </c>
      <c r="E30" s="8" t="n">
        <f aca="false">E29+D30</f>
        <v>0.999954362577314</v>
      </c>
      <c r="F30" s="7" t="str">
        <f aca="false">IF(E30&lt;=0.7,"A",IF(E30&lt;=0.9,"B","C"))</f>
        <v>C</v>
      </c>
      <c r="G30" s="7" t="n">
        <v>3058</v>
      </c>
      <c r="H30" s="7" t="n">
        <v>500</v>
      </c>
    </row>
    <row r="31" customFormat="false" ht="15" hidden="false" customHeight="false" outlineLevel="0" collapsed="false">
      <c r="A31" s="7" t="n">
        <v>30</v>
      </c>
      <c r="B31" s="7" t="s">
        <v>611</v>
      </c>
      <c r="C31" s="7" t="n">
        <v>1.6</v>
      </c>
      <c r="D31" s="8" t="n">
        <f aca="false">C31/SUM($C$2:$C$32)</f>
        <v>3.84315138413499E-005</v>
      </c>
      <c r="E31" s="8" t="n">
        <f aca="false">E30+D31</f>
        <v>0.999992794091155</v>
      </c>
      <c r="F31" s="7" t="str">
        <f aca="false">IF(E31&lt;=0.7,"A",IF(E31&lt;=0.9,"B","C"))</f>
        <v>C</v>
      </c>
      <c r="G31" s="7" t="n">
        <v>322</v>
      </c>
      <c r="H31" s="7" t="n">
        <v>150</v>
      </c>
    </row>
    <row r="32" customFormat="false" ht="15" hidden="false" customHeight="false" outlineLevel="0" collapsed="false">
      <c r="A32" s="7" t="n">
        <v>31</v>
      </c>
      <c r="B32" s="7" t="s">
        <v>612</v>
      </c>
      <c r="C32" s="7" t="n">
        <v>0.3</v>
      </c>
      <c r="D32" s="8" t="n">
        <f aca="false">C32/SUM($C$2:$C$32)</f>
        <v>7.20590884525311E-006</v>
      </c>
      <c r="E32" s="8" t="n">
        <f aca="false">E31+D32</f>
        <v>1</v>
      </c>
      <c r="F32" s="7" t="str">
        <f aca="false">IF(E32&lt;=0.7,"A",IF(E32&lt;=0.9,"B","C"))</f>
        <v>C</v>
      </c>
      <c r="G32" s="7" t="n">
        <v>966</v>
      </c>
      <c r="H32" s="7" t="n">
        <v>50</v>
      </c>
    </row>
    <row r="33" customFormat="false" ht="15" hidden="false" customHeight="false" outlineLevel="0" collapsed="false">
      <c r="A33" s="9" t="n">
        <v>32</v>
      </c>
      <c r="B33" s="9" t="s">
        <v>613</v>
      </c>
      <c r="C33" s="9" t="n">
        <v>0</v>
      </c>
      <c r="D33" s="9"/>
      <c r="E33" s="9"/>
      <c r="F33" s="9" t="s">
        <v>196</v>
      </c>
      <c r="G33" s="9" t="n">
        <v>25</v>
      </c>
      <c r="H33" s="9" t="n">
        <v>50</v>
      </c>
    </row>
    <row r="34" customFormat="false" ht="15" hidden="false" customHeight="false" outlineLevel="0" collapsed="false">
      <c r="A34" s="9" t="n">
        <v>33</v>
      </c>
      <c r="B34" s="9" t="s">
        <v>614</v>
      </c>
      <c r="C34" s="9" t="n">
        <v>0</v>
      </c>
      <c r="D34" s="9"/>
      <c r="E34" s="9"/>
      <c r="F34" s="9" t="s">
        <v>196</v>
      </c>
      <c r="G34" s="9" t="n">
        <v>245</v>
      </c>
      <c r="H34" s="9" t="n">
        <v>0</v>
      </c>
    </row>
    <row r="35" customFormat="false" ht="15" hidden="false" customHeight="false" outlineLevel="0" collapsed="false">
      <c r="A35" s="9" t="n">
        <v>34</v>
      </c>
      <c r="B35" s="9" t="s">
        <v>615</v>
      </c>
      <c r="C35" s="9" t="n">
        <v>0</v>
      </c>
      <c r="D35" s="9"/>
      <c r="E35" s="9"/>
      <c r="F35" s="9" t="s">
        <v>196</v>
      </c>
      <c r="G35" s="9" t="n">
        <v>194</v>
      </c>
      <c r="H35" s="9" t="n">
        <v>0</v>
      </c>
    </row>
  </sheetData>
  <conditionalFormatting sqref="F2:F35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616</v>
      </c>
      <c r="C2" s="7" t="n">
        <v>221.4</v>
      </c>
      <c r="D2" s="8" t="n">
        <f aca="false">C2/SUM($C$2:$C$70)</f>
        <v>0.234360114322007</v>
      </c>
      <c r="E2" s="8" t="n">
        <f aca="false">D2</f>
        <v>0.234360114322007</v>
      </c>
      <c r="F2" s="7" t="str">
        <f aca="false">IF(E2&lt;=0.7,"A",IF(E2&lt;=0.9,"B","C"))</f>
        <v>A</v>
      </c>
      <c r="G2" s="7" t="n">
        <v>241</v>
      </c>
      <c r="H2" s="7" t="n">
        <v>500</v>
      </c>
    </row>
    <row r="3" customFormat="false" ht="15" hidden="false" customHeight="false" outlineLevel="0" collapsed="false">
      <c r="A3" s="7" t="n">
        <v>2</v>
      </c>
      <c r="B3" s="7" t="s">
        <v>617</v>
      </c>
      <c r="C3" s="7" t="n">
        <v>183</v>
      </c>
      <c r="D3" s="8" t="n">
        <f aca="false">C3/SUM($C$2:$C$70)</f>
        <v>0.193712289615751</v>
      </c>
      <c r="E3" s="8" t="n">
        <f aca="false">E2+D3</f>
        <v>0.428072403937758</v>
      </c>
      <c r="F3" s="7" t="str">
        <f aca="false">IF(E3&lt;=0.7,"A",IF(E3&lt;=0.9,"B","C"))</f>
        <v>A</v>
      </c>
      <c r="G3" s="7" t="n">
        <v>320</v>
      </c>
      <c r="H3" s="7" t="n">
        <v>400</v>
      </c>
    </row>
    <row r="4" customFormat="false" ht="15" hidden="false" customHeight="false" outlineLevel="0" collapsed="false">
      <c r="A4" s="7" t="n">
        <v>3</v>
      </c>
      <c r="B4" s="7" t="s">
        <v>618</v>
      </c>
      <c r="C4" s="7" t="n">
        <v>80.3</v>
      </c>
      <c r="D4" s="8" t="n">
        <f aca="false">C4/SUM($C$2:$C$70)</f>
        <v>0.0850005292685509</v>
      </c>
      <c r="E4" s="8" t="n">
        <f aca="false">E3+D4</f>
        <v>0.513072933206309</v>
      </c>
      <c r="F4" s="7" t="str">
        <f aca="false">IF(E4&lt;=0.7,"A",IF(E4&lt;=0.9,"B","C"))</f>
        <v>A</v>
      </c>
      <c r="G4" s="7" t="n">
        <v>288</v>
      </c>
      <c r="H4" s="7" t="n">
        <v>100</v>
      </c>
    </row>
    <row r="5" customFormat="false" ht="15" hidden="false" customHeight="false" outlineLevel="0" collapsed="false">
      <c r="A5" s="7" t="n">
        <v>4</v>
      </c>
      <c r="B5" s="7" t="s">
        <v>619</v>
      </c>
      <c r="C5" s="7" t="n">
        <v>52.7</v>
      </c>
      <c r="D5" s="8" t="n">
        <f aca="false">C5/SUM($C$2:$C$70)</f>
        <v>0.0557849052609294</v>
      </c>
      <c r="E5" s="8" t="n">
        <f aca="false">E4+D5</f>
        <v>0.568857838467238</v>
      </c>
      <c r="F5" s="7" t="str">
        <f aca="false">IF(E5&lt;=0.7,"A",IF(E5&lt;=0.9,"B","C"))</f>
        <v>A</v>
      </c>
      <c r="G5" s="7" t="n">
        <v>301</v>
      </c>
      <c r="H5" s="7" t="n">
        <v>300</v>
      </c>
    </row>
    <row r="6" customFormat="false" ht="15" hidden="false" customHeight="false" outlineLevel="0" collapsed="false">
      <c r="A6" s="7" t="n">
        <v>5</v>
      </c>
      <c r="B6" s="7" t="s">
        <v>620</v>
      </c>
      <c r="C6" s="7" t="n">
        <v>48.4</v>
      </c>
      <c r="D6" s="8" t="n">
        <f aca="false">C6/SUM($C$2:$C$70)</f>
        <v>0.0512331957235101</v>
      </c>
      <c r="E6" s="8" t="n">
        <f aca="false">E5+D6</f>
        <v>0.620091034190748</v>
      </c>
      <c r="F6" s="7" t="str">
        <f aca="false">IF(E6&lt;=0.7,"A",IF(E6&lt;=0.9,"B","C"))</f>
        <v>A</v>
      </c>
      <c r="G6" s="7" t="n">
        <v>819</v>
      </c>
      <c r="H6" s="7" t="n">
        <v>200</v>
      </c>
    </row>
    <row r="7" customFormat="false" ht="15" hidden="false" customHeight="false" outlineLevel="0" collapsed="false">
      <c r="A7" s="7" t="n">
        <v>6</v>
      </c>
      <c r="B7" s="7" t="s">
        <v>621</v>
      </c>
      <c r="C7" s="7" t="n">
        <v>40.3</v>
      </c>
      <c r="D7" s="8" t="n">
        <f aca="false">C7/SUM($C$2:$C$70)</f>
        <v>0.0426590451995342</v>
      </c>
      <c r="E7" s="8" t="n">
        <f aca="false">E6+D7</f>
        <v>0.662750079390283</v>
      </c>
      <c r="F7" s="7" t="str">
        <f aca="false">IF(E7&lt;=0.7,"A",IF(E7&lt;=0.9,"B","C"))</f>
        <v>A</v>
      </c>
      <c r="G7" s="7" t="n">
        <v>85</v>
      </c>
      <c r="H7" s="7" t="n">
        <v>200</v>
      </c>
    </row>
    <row r="8" customFormat="false" ht="15" hidden="false" customHeight="false" outlineLevel="0" collapsed="false">
      <c r="A8" s="7" t="n">
        <v>7</v>
      </c>
      <c r="B8" s="7" t="s">
        <v>622</v>
      </c>
      <c r="C8" s="7" t="n">
        <v>31.4</v>
      </c>
      <c r="D8" s="8" t="n">
        <f aca="false">C8/SUM($C$2:$C$70)</f>
        <v>0.033238064994178</v>
      </c>
      <c r="E8" s="8" t="n">
        <f aca="false">E7+D8</f>
        <v>0.695988144384461</v>
      </c>
      <c r="F8" s="7" t="str">
        <f aca="false">IF(E8&lt;=0.7,"A",IF(E8&lt;=0.9,"B","C"))</f>
        <v>A</v>
      </c>
      <c r="G8" s="7" t="n">
        <v>150</v>
      </c>
      <c r="H8" s="7" t="n">
        <v>150</v>
      </c>
    </row>
    <row r="9" customFormat="false" ht="15" hidden="false" customHeight="false" outlineLevel="0" collapsed="false">
      <c r="A9" s="7" t="n">
        <v>8</v>
      </c>
      <c r="B9" s="7" t="s">
        <v>623</v>
      </c>
      <c r="C9" s="7" t="n">
        <v>30</v>
      </c>
      <c r="D9" s="8" t="n">
        <f aca="false">C9/SUM($C$2:$C$70)</f>
        <v>0.0317561130517625</v>
      </c>
      <c r="E9" s="8" t="n">
        <f aca="false">E8+D9</f>
        <v>0.727744257436223</v>
      </c>
      <c r="F9" s="7" t="str">
        <f aca="false">IF(E9&lt;=0.7,"A",IF(E9&lt;=0.9,"B","C"))</f>
        <v>B</v>
      </c>
      <c r="G9" s="7" t="n">
        <v>55</v>
      </c>
      <c r="H9" s="7" t="n">
        <v>50</v>
      </c>
    </row>
    <row r="10" customFormat="false" ht="15" hidden="false" customHeight="false" outlineLevel="0" collapsed="false">
      <c r="A10" s="7" t="n">
        <v>9</v>
      </c>
      <c r="B10" s="7" t="s">
        <v>624</v>
      </c>
      <c r="C10" s="7" t="n">
        <v>28.6</v>
      </c>
      <c r="D10" s="8" t="n">
        <f aca="false">C10/SUM($C$2:$C$70)</f>
        <v>0.0302741611093469</v>
      </c>
      <c r="E10" s="8" t="n">
        <f aca="false">E9+D10</f>
        <v>0.75801841854557</v>
      </c>
      <c r="F10" s="7" t="str">
        <f aca="false">IF(E10&lt;=0.7,"A",IF(E10&lt;=0.9,"B","C"))</f>
        <v>B</v>
      </c>
      <c r="G10" s="7" t="n">
        <v>177</v>
      </c>
      <c r="H10" s="7" t="n">
        <v>50</v>
      </c>
    </row>
    <row r="11" customFormat="false" ht="15" hidden="false" customHeight="false" outlineLevel="0" collapsed="false">
      <c r="A11" s="7" t="n">
        <v>10</v>
      </c>
      <c r="B11" s="7" t="s">
        <v>625</v>
      </c>
      <c r="C11" s="7" t="n">
        <v>25.9</v>
      </c>
      <c r="D11" s="8" t="n">
        <f aca="false">C11/SUM($C$2:$C$70)</f>
        <v>0.0274161109346883</v>
      </c>
      <c r="E11" s="8" t="n">
        <f aca="false">E10+D11</f>
        <v>0.785434529480258</v>
      </c>
      <c r="F11" s="7" t="str">
        <f aca="false">IF(E11&lt;=0.7,"A",IF(E11&lt;=0.9,"B","C"))</f>
        <v>B</v>
      </c>
      <c r="G11" s="7" t="n">
        <v>332</v>
      </c>
      <c r="H11" s="7" t="n">
        <v>300</v>
      </c>
    </row>
    <row r="12" customFormat="false" ht="15" hidden="false" customHeight="false" outlineLevel="0" collapsed="false">
      <c r="A12" s="7" t="n">
        <v>11</v>
      </c>
      <c r="B12" s="7" t="s">
        <v>626</v>
      </c>
      <c r="C12" s="7" t="n">
        <v>18.6</v>
      </c>
      <c r="D12" s="8" t="n">
        <f aca="false">C12/SUM($C$2:$C$70)</f>
        <v>0.0196887900920927</v>
      </c>
      <c r="E12" s="8" t="n">
        <f aca="false">E11+D12</f>
        <v>0.805123319572351</v>
      </c>
      <c r="F12" s="7" t="str">
        <f aca="false">IF(E12&lt;=0.7,"A",IF(E12&lt;=0.9,"B","C"))</f>
        <v>B</v>
      </c>
      <c r="G12" s="7" t="n">
        <v>30</v>
      </c>
      <c r="H12" s="7" t="n">
        <v>50</v>
      </c>
    </row>
    <row r="13" customFormat="false" ht="15" hidden="false" customHeight="false" outlineLevel="0" collapsed="false">
      <c r="A13" s="7" t="n">
        <v>12</v>
      </c>
      <c r="B13" s="7" t="s">
        <v>627</v>
      </c>
      <c r="C13" s="7" t="n">
        <v>17.3</v>
      </c>
      <c r="D13" s="8" t="n">
        <f aca="false">C13/SUM($C$2:$C$70)</f>
        <v>0.0183126918598497</v>
      </c>
      <c r="E13" s="8" t="n">
        <f aca="false">E12+D13</f>
        <v>0.823436011432201</v>
      </c>
      <c r="F13" s="7" t="str">
        <f aca="false">IF(E13&lt;=0.7,"A",IF(E13&lt;=0.9,"B","C"))</f>
        <v>B</v>
      </c>
      <c r="G13" s="7" t="n">
        <v>63</v>
      </c>
      <c r="H13" s="7" t="n">
        <v>200</v>
      </c>
    </row>
    <row r="14" customFormat="false" ht="15" hidden="false" customHeight="false" outlineLevel="0" collapsed="false">
      <c r="A14" s="7" t="n">
        <v>13</v>
      </c>
      <c r="B14" s="7" t="s">
        <v>628</v>
      </c>
      <c r="C14" s="7" t="n">
        <v>15.7</v>
      </c>
      <c r="D14" s="8" t="n">
        <f aca="false">C14/SUM($C$2:$C$70)</f>
        <v>0.016619032497089</v>
      </c>
      <c r="E14" s="8" t="n">
        <f aca="false">E13+D14</f>
        <v>0.84005504392929</v>
      </c>
      <c r="F14" s="7" t="str">
        <f aca="false">IF(E14&lt;=0.7,"A",IF(E14&lt;=0.9,"B","C"))</f>
        <v>B</v>
      </c>
      <c r="G14" s="7" t="n">
        <v>70</v>
      </c>
      <c r="H14" s="7" t="n">
        <v>50</v>
      </c>
    </row>
    <row r="15" customFormat="false" ht="15" hidden="false" customHeight="false" outlineLevel="0" collapsed="false">
      <c r="A15" s="7" t="n">
        <v>14</v>
      </c>
      <c r="B15" s="7" t="s">
        <v>629</v>
      </c>
      <c r="C15" s="7" t="n">
        <v>13.5</v>
      </c>
      <c r="D15" s="8" t="n">
        <f aca="false">C15/SUM($C$2:$C$70)</f>
        <v>0.0142902508732931</v>
      </c>
      <c r="E15" s="8" t="n">
        <f aca="false">E14+D15</f>
        <v>0.854345294802583</v>
      </c>
      <c r="F15" s="7" t="str">
        <f aca="false">IF(E15&lt;=0.7,"A",IF(E15&lt;=0.9,"B","C"))</f>
        <v>B</v>
      </c>
      <c r="G15" s="7" t="n">
        <v>111</v>
      </c>
      <c r="H15" s="7" t="n">
        <v>50</v>
      </c>
    </row>
    <row r="16" customFormat="false" ht="15" hidden="false" customHeight="false" outlineLevel="0" collapsed="false">
      <c r="A16" s="7" t="n">
        <v>15</v>
      </c>
      <c r="B16" s="7" t="s">
        <v>630</v>
      </c>
      <c r="C16" s="7" t="n">
        <v>9.5</v>
      </c>
      <c r="D16" s="8" t="n">
        <f aca="false">C16/SUM($C$2:$C$70)</f>
        <v>0.0100561024663914</v>
      </c>
      <c r="E16" s="8" t="n">
        <f aca="false">E15+D16</f>
        <v>0.864401397268974</v>
      </c>
      <c r="F16" s="7" t="str">
        <f aca="false">IF(E16&lt;=0.7,"A",IF(E16&lt;=0.9,"B","C"))</f>
        <v>B</v>
      </c>
      <c r="G16" s="7" t="n">
        <v>60</v>
      </c>
      <c r="H16" s="7" t="n">
        <v>100</v>
      </c>
    </row>
    <row r="17" customFormat="false" ht="15" hidden="false" customHeight="false" outlineLevel="0" collapsed="false">
      <c r="A17" s="7" t="n">
        <v>16</v>
      </c>
      <c r="B17" s="7" t="s">
        <v>631</v>
      </c>
      <c r="C17" s="7" t="n">
        <v>8.4</v>
      </c>
      <c r="D17" s="8" t="n">
        <f aca="false">C17/SUM($C$2:$C$70)</f>
        <v>0.00889171165449349</v>
      </c>
      <c r="E17" s="8" t="n">
        <f aca="false">E16+D17</f>
        <v>0.873293108923468</v>
      </c>
      <c r="F17" s="7" t="str">
        <f aca="false">IF(E17&lt;=0.7,"A",IF(E17&lt;=0.9,"B","C"))</f>
        <v>B</v>
      </c>
      <c r="G17" s="7" t="n">
        <v>26</v>
      </c>
      <c r="H17" s="7" t="n">
        <v>0</v>
      </c>
    </row>
    <row r="18" customFormat="false" ht="15" hidden="false" customHeight="false" outlineLevel="0" collapsed="false">
      <c r="A18" s="7" t="n">
        <v>17</v>
      </c>
      <c r="B18" s="7" t="s">
        <v>632</v>
      </c>
      <c r="C18" s="7" t="n">
        <v>8.1</v>
      </c>
      <c r="D18" s="8" t="n">
        <f aca="false">C18/SUM($C$2:$C$70)</f>
        <v>0.00857415052397587</v>
      </c>
      <c r="E18" s="8" t="n">
        <f aca="false">E17+D18</f>
        <v>0.881867259447444</v>
      </c>
      <c r="F18" s="7" t="str">
        <f aca="false">IF(E18&lt;=0.7,"A",IF(E18&lt;=0.9,"B","C"))</f>
        <v>B</v>
      </c>
      <c r="G18" s="7" t="n">
        <v>375</v>
      </c>
      <c r="H18" s="7" t="n">
        <v>300</v>
      </c>
    </row>
    <row r="19" customFormat="false" ht="15" hidden="false" customHeight="false" outlineLevel="0" collapsed="false">
      <c r="A19" s="7" t="n">
        <v>18</v>
      </c>
      <c r="B19" s="7" t="s">
        <v>633</v>
      </c>
      <c r="C19" s="7" t="n">
        <v>7.6</v>
      </c>
      <c r="D19" s="8" t="n">
        <f aca="false">C19/SUM($C$2:$C$70)</f>
        <v>0.00804488197311316</v>
      </c>
      <c r="E19" s="8" t="n">
        <f aca="false">E18+D19</f>
        <v>0.889912141420557</v>
      </c>
      <c r="F19" s="7" t="str">
        <f aca="false">IF(E19&lt;=0.7,"A",IF(E19&lt;=0.9,"B","C"))</f>
        <v>B</v>
      </c>
      <c r="G19" s="7" t="n">
        <v>38</v>
      </c>
      <c r="H19" s="7" t="n">
        <v>50</v>
      </c>
    </row>
    <row r="20" customFormat="false" ht="15" hidden="false" customHeight="false" outlineLevel="0" collapsed="false">
      <c r="A20" s="7" t="n">
        <v>19</v>
      </c>
      <c r="B20" s="7" t="s">
        <v>634</v>
      </c>
      <c r="C20" s="7" t="n">
        <v>7.6</v>
      </c>
      <c r="D20" s="8" t="n">
        <f aca="false">C20/SUM($C$2:$C$70)</f>
        <v>0.00804488197311316</v>
      </c>
      <c r="E20" s="8" t="n">
        <f aca="false">E19+D20</f>
        <v>0.89795702339367</v>
      </c>
      <c r="F20" s="7" t="str">
        <f aca="false">IF(E20&lt;=0.7,"A",IF(E20&lt;=0.9,"B","C"))</f>
        <v>B</v>
      </c>
      <c r="G20" s="7" t="n">
        <v>222</v>
      </c>
      <c r="H20" s="7" t="n">
        <v>50</v>
      </c>
    </row>
    <row r="21" customFormat="false" ht="15" hidden="false" customHeight="false" outlineLevel="0" collapsed="false">
      <c r="A21" s="7" t="n">
        <v>20</v>
      </c>
      <c r="B21" s="7" t="s">
        <v>635</v>
      </c>
      <c r="C21" s="7" t="n">
        <v>7.6</v>
      </c>
      <c r="D21" s="8" t="n">
        <f aca="false">C21/SUM($C$2:$C$70)</f>
        <v>0.00804488197311316</v>
      </c>
      <c r="E21" s="8" t="n">
        <f aca="false">E20+D21</f>
        <v>0.906001905366783</v>
      </c>
      <c r="F21" s="7" t="str">
        <f aca="false">IF(E21&lt;=0.7,"A",IF(E21&lt;=0.9,"B","C"))</f>
        <v>C</v>
      </c>
      <c r="G21" s="7" t="n">
        <v>70</v>
      </c>
      <c r="H21" s="7" t="n">
        <v>50</v>
      </c>
    </row>
    <row r="22" customFormat="false" ht="15" hidden="false" customHeight="false" outlineLevel="0" collapsed="false">
      <c r="A22" s="7" t="n">
        <v>21</v>
      </c>
      <c r="B22" s="7" t="s">
        <v>636</v>
      </c>
      <c r="C22" s="7" t="n">
        <v>7.3</v>
      </c>
      <c r="D22" s="8" t="n">
        <f aca="false">C22/SUM($C$2:$C$70)</f>
        <v>0.00772732084259553</v>
      </c>
      <c r="E22" s="8" t="n">
        <f aca="false">E21+D22</f>
        <v>0.913729226209379</v>
      </c>
      <c r="F22" s="7" t="str">
        <f aca="false">IF(E22&lt;=0.7,"A",IF(E22&lt;=0.9,"B","C"))</f>
        <v>C</v>
      </c>
      <c r="G22" s="7" t="n">
        <v>201</v>
      </c>
      <c r="H22" s="7" t="n">
        <v>0</v>
      </c>
    </row>
    <row r="23" customFormat="false" ht="15" hidden="false" customHeight="false" outlineLevel="0" collapsed="false">
      <c r="A23" s="7" t="n">
        <v>22</v>
      </c>
      <c r="B23" s="7" t="s">
        <v>637</v>
      </c>
      <c r="C23" s="7" t="n">
        <v>7</v>
      </c>
      <c r="D23" s="8" t="n">
        <f aca="false">C23/SUM($C$2:$C$70)</f>
        <v>0.00740975971207791</v>
      </c>
      <c r="E23" s="8" t="n">
        <f aca="false">E22+D23</f>
        <v>0.921138985921457</v>
      </c>
      <c r="F23" s="7" t="str">
        <f aca="false">IF(E23&lt;=0.7,"A",IF(E23&lt;=0.9,"B","C"))</f>
        <v>C</v>
      </c>
      <c r="G23" s="7" t="n">
        <v>131</v>
      </c>
      <c r="H23" s="7" t="n">
        <v>160</v>
      </c>
    </row>
    <row r="24" customFormat="false" ht="15" hidden="false" customHeight="false" outlineLevel="0" collapsed="false">
      <c r="A24" s="7" t="n">
        <v>23</v>
      </c>
      <c r="B24" s="7" t="s">
        <v>638</v>
      </c>
      <c r="C24" s="7" t="n">
        <v>6.8</v>
      </c>
      <c r="D24" s="8" t="n">
        <f aca="false">C24/SUM($C$2:$C$70)</f>
        <v>0.00719805229173282</v>
      </c>
      <c r="E24" s="8" t="n">
        <f aca="false">E23+D24</f>
        <v>0.92833703821319</v>
      </c>
      <c r="F24" s="7" t="str">
        <f aca="false">IF(E24&lt;=0.7,"A",IF(E24&lt;=0.9,"B","C"))</f>
        <v>C</v>
      </c>
      <c r="G24" s="7" t="n">
        <v>281</v>
      </c>
      <c r="H24" s="7" t="n">
        <v>0</v>
      </c>
    </row>
    <row r="25" customFormat="false" ht="15" hidden="false" customHeight="false" outlineLevel="0" collapsed="false">
      <c r="A25" s="7" t="n">
        <v>24</v>
      </c>
      <c r="B25" s="7" t="s">
        <v>639</v>
      </c>
      <c r="C25" s="7" t="n">
        <v>6.5</v>
      </c>
      <c r="D25" s="8" t="n">
        <f aca="false">C25/SUM($C$2:$C$70)</f>
        <v>0.0068804911612152</v>
      </c>
      <c r="E25" s="8" t="n">
        <f aca="false">E24+D25</f>
        <v>0.935217529374405</v>
      </c>
      <c r="F25" s="7" t="str">
        <f aca="false">IF(E25&lt;=0.7,"A",IF(E25&lt;=0.9,"B","C"))</f>
        <v>C</v>
      </c>
      <c r="G25" s="7" t="n">
        <v>12</v>
      </c>
      <c r="H25" s="7" t="n">
        <v>50</v>
      </c>
    </row>
    <row r="26" customFormat="false" ht="15" hidden="false" customHeight="false" outlineLevel="0" collapsed="false">
      <c r="A26" s="7" t="n">
        <v>25</v>
      </c>
      <c r="B26" s="7" t="s">
        <v>640</v>
      </c>
      <c r="C26" s="7" t="n">
        <v>6.5</v>
      </c>
      <c r="D26" s="8" t="n">
        <f aca="false">C26/SUM($C$2:$C$70)</f>
        <v>0.0068804911612152</v>
      </c>
      <c r="E26" s="8" t="n">
        <f aca="false">E25+D26</f>
        <v>0.94209802053562</v>
      </c>
      <c r="F26" s="7" t="str">
        <f aca="false">IF(E26&lt;=0.7,"A",IF(E26&lt;=0.9,"B","C"))</f>
        <v>C</v>
      </c>
      <c r="G26" s="7" t="n">
        <v>130</v>
      </c>
      <c r="H26" s="7" t="n">
        <v>200</v>
      </c>
    </row>
    <row r="27" customFormat="false" ht="15" hidden="false" customHeight="false" outlineLevel="0" collapsed="false">
      <c r="A27" s="7" t="n">
        <v>26</v>
      </c>
      <c r="B27" s="7" t="s">
        <v>641</v>
      </c>
      <c r="C27" s="7" t="n">
        <v>5.9</v>
      </c>
      <c r="D27" s="8" t="n">
        <f aca="false">C27/SUM($C$2:$C$70)</f>
        <v>0.00624536890017995</v>
      </c>
      <c r="E27" s="8" t="n">
        <f aca="false">E26+D27</f>
        <v>0.9483433894358</v>
      </c>
      <c r="F27" s="7" t="str">
        <f aca="false">IF(E27&lt;=0.7,"A",IF(E27&lt;=0.9,"B","C"))</f>
        <v>C</v>
      </c>
      <c r="G27" s="7" t="n">
        <v>26</v>
      </c>
      <c r="H27" s="7" t="n">
        <v>100</v>
      </c>
    </row>
    <row r="28" customFormat="false" ht="15" hidden="false" customHeight="false" outlineLevel="0" collapsed="false">
      <c r="A28" s="7" t="n">
        <v>27</v>
      </c>
      <c r="B28" s="7" t="s">
        <v>642</v>
      </c>
      <c r="C28" s="7" t="n">
        <v>5.1</v>
      </c>
      <c r="D28" s="8" t="n">
        <f aca="false">C28/SUM($C$2:$C$70)</f>
        <v>0.00539853921879962</v>
      </c>
      <c r="E28" s="8" t="n">
        <f aca="false">E27+D28</f>
        <v>0.9537419286546</v>
      </c>
      <c r="F28" s="7" t="str">
        <f aca="false">IF(E28&lt;=0.7,"A",IF(E28&lt;=0.9,"B","C"))</f>
        <v>C</v>
      </c>
      <c r="G28" s="7" t="n">
        <v>387</v>
      </c>
      <c r="H28" s="7" t="n">
        <v>50</v>
      </c>
    </row>
    <row r="29" customFormat="false" ht="15" hidden="false" customHeight="false" outlineLevel="0" collapsed="false">
      <c r="A29" s="7" t="n">
        <v>28</v>
      </c>
      <c r="B29" s="7" t="s">
        <v>643</v>
      </c>
      <c r="C29" s="7" t="n">
        <v>4.1</v>
      </c>
      <c r="D29" s="8" t="n">
        <f aca="false">C29/SUM($C$2:$C$70)</f>
        <v>0.0043400021170742</v>
      </c>
      <c r="E29" s="8" t="n">
        <f aca="false">E28+D29</f>
        <v>0.958081930771674</v>
      </c>
      <c r="F29" s="7" t="str">
        <f aca="false">IF(E29&lt;=0.7,"A",IF(E29&lt;=0.9,"B","C"))</f>
        <v>C</v>
      </c>
      <c r="G29" s="7" t="n">
        <v>11</v>
      </c>
      <c r="H29" s="7" t="n">
        <v>50</v>
      </c>
    </row>
    <row r="30" customFormat="false" ht="15" hidden="false" customHeight="false" outlineLevel="0" collapsed="false">
      <c r="A30" s="7" t="n">
        <v>29</v>
      </c>
      <c r="B30" s="7" t="s">
        <v>644</v>
      </c>
      <c r="C30" s="7" t="n">
        <v>3.5</v>
      </c>
      <c r="D30" s="8" t="n">
        <f aca="false">C30/SUM($C$2:$C$70)</f>
        <v>0.00370487985603895</v>
      </c>
      <c r="E30" s="8" t="n">
        <f aca="false">E29+D30</f>
        <v>0.961786810627713</v>
      </c>
      <c r="F30" s="7" t="str">
        <f aca="false">IF(E30&lt;=0.7,"A",IF(E30&lt;=0.9,"B","C"))</f>
        <v>C</v>
      </c>
      <c r="G30" s="7" t="n">
        <v>21</v>
      </c>
      <c r="H30" s="7" t="n">
        <v>150</v>
      </c>
    </row>
    <row r="31" customFormat="false" ht="15" hidden="false" customHeight="false" outlineLevel="0" collapsed="false">
      <c r="A31" s="7" t="n">
        <v>30</v>
      </c>
      <c r="B31" s="7" t="s">
        <v>645</v>
      </c>
      <c r="C31" s="7" t="n">
        <v>3.2</v>
      </c>
      <c r="D31" s="8" t="n">
        <f aca="false">C31/SUM($C$2:$C$70)</f>
        <v>0.00338731872552133</v>
      </c>
      <c r="E31" s="8" t="n">
        <f aca="false">E30+D31</f>
        <v>0.965174129353234</v>
      </c>
      <c r="F31" s="7" t="str">
        <f aca="false">IF(E31&lt;=0.7,"A",IF(E31&lt;=0.9,"B","C"))</f>
        <v>C</v>
      </c>
      <c r="G31" s="7" t="n">
        <v>11</v>
      </c>
      <c r="H31" s="7" t="n">
        <v>0</v>
      </c>
    </row>
    <row r="32" customFormat="false" ht="15" hidden="false" customHeight="false" outlineLevel="0" collapsed="false">
      <c r="A32" s="7" t="n">
        <v>31</v>
      </c>
      <c r="B32" s="7" t="s">
        <v>646</v>
      </c>
      <c r="C32" s="7" t="n">
        <v>3</v>
      </c>
      <c r="D32" s="8" t="n">
        <f aca="false">C32/SUM($C$2:$C$70)</f>
        <v>0.00317561130517625</v>
      </c>
      <c r="E32" s="8" t="n">
        <f aca="false">E31+D32</f>
        <v>0.96834974065841</v>
      </c>
      <c r="F32" s="7" t="str">
        <f aca="false">IF(E32&lt;=0.7,"A",IF(E32&lt;=0.9,"B","C"))</f>
        <v>C</v>
      </c>
      <c r="G32" s="7" t="n">
        <v>32</v>
      </c>
      <c r="H32" s="7" t="n">
        <v>50</v>
      </c>
    </row>
    <row r="33" customFormat="false" ht="15" hidden="false" customHeight="false" outlineLevel="0" collapsed="false">
      <c r="A33" s="7" t="n">
        <v>32</v>
      </c>
      <c r="B33" s="7" t="s">
        <v>647</v>
      </c>
      <c r="C33" s="7" t="n">
        <v>2.4</v>
      </c>
      <c r="D33" s="8" t="n">
        <f aca="false">C33/SUM($C$2:$C$70)</f>
        <v>0.002540489044141</v>
      </c>
      <c r="E33" s="8" t="n">
        <f aca="false">E32+D33</f>
        <v>0.970890229702551</v>
      </c>
      <c r="F33" s="7" t="str">
        <f aca="false">IF(E33&lt;=0.7,"A",IF(E33&lt;=0.9,"B","C"))</f>
        <v>C</v>
      </c>
      <c r="G33" s="7" t="n">
        <v>194</v>
      </c>
      <c r="H33" s="7" t="n">
        <v>0</v>
      </c>
    </row>
    <row r="34" customFormat="false" ht="15" hidden="false" customHeight="false" outlineLevel="0" collapsed="false">
      <c r="A34" s="7" t="n">
        <v>33</v>
      </c>
      <c r="B34" s="7" t="s">
        <v>648</v>
      </c>
      <c r="C34" s="7" t="n">
        <v>2.2</v>
      </c>
      <c r="D34" s="8" t="n">
        <f aca="false">C34/SUM($C$2:$C$70)</f>
        <v>0.00232878162379591</v>
      </c>
      <c r="E34" s="8" t="n">
        <f aca="false">E33+D34</f>
        <v>0.973219011326347</v>
      </c>
      <c r="F34" s="7" t="str">
        <f aca="false">IF(E34&lt;=0.7,"A",IF(E34&lt;=0.9,"B","C"))</f>
        <v>C</v>
      </c>
      <c r="G34" s="7" t="n">
        <v>45</v>
      </c>
      <c r="H34" s="7" t="n">
        <v>0</v>
      </c>
    </row>
    <row r="35" customFormat="false" ht="15" hidden="false" customHeight="false" outlineLevel="0" collapsed="false">
      <c r="A35" s="7" t="n">
        <v>34</v>
      </c>
      <c r="B35" s="7" t="s">
        <v>649</v>
      </c>
      <c r="C35" s="7" t="n">
        <v>1.9</v>
      </c>
      <c r="D35" s="8" t="n">
        <f aca="false">C35/SUM($C$2:$C$70)</f>
        <v>0.00201122049327829</v>
      </c>
      <c r="E35" s="8" t="n">
        <f aca="false">E34+D35</f>
        <v>0.975230231819625</v>
      </c>
      <c r="F35" s="7" t="str">
        <f aca="false">IF(E35&lt;=0.7,"A",IF(E35&lt;=0.9,"B","C"))</f>
        <v>C</v>
      </c>
      <c r="G35" s="7" t="n">
        <v>778</v>
      </c>
      <c r="H35" s="7" t="n">
        <v>50</v>
      </c>
    </row>
    <row r="36" customFormat="false" ht="15" hidden="false" customHeight="false" outlineLevel="0" collapsed="false">
      <c r="A36" s="7" t="n">
        <v>35</v>
      </c>
      <c r="B36" s="7" t="s">
        <v>650</v>
      </c>
      <c r="C36" s="7" t="n">
        <v>1.6</v>
      </c>
      <c r="D36" s="8" t="n">
        <f aca="false">C36/SUM($C$2:$C$70)</f>
        <v>0.00169365936276066</v>
      </c>
      <c r="E36" s="8" t="n">
        <f aca="false">E35+D36</f>
        <v>0.976923891182386</v>
      </c>
      <c r="F36" s="7" t="str">
        <f aca="false">IF(E36&lt;=0.7,"A",IF(E36&lt;=0.9,"B","C"))</f>
        <v>C</v>
      </c>
      <c r="G36" s="7" t="n">
        <v>251</v>
      </c>
      <c r="H36" s="7" t="n">
        <v>50</v>
      </c>
    </row>
    <row r="37" customFormat="false" ht="15" hidden="false" customHeight="false" outlineLevel="0" collapsed="false">
      <c r="A37" s="7" t="n">
        <v>36</v>
      </c>
      <c r="B37" s="7" t="s">
        <v>651</v>
      </c>
      <c r="C37" s="7" t="n">
        <v>1.6</v>
      </c>
      <c r="D37" s="8" t="n">
        <f aca="false">C37/SUM($C$2:$C$70)</f>
        <v>0.00169365936276066</v>
      </c>
      <c r="E37" s="8" t="n">
        <f aca="false">E36+D37</f>
        <v>0.978617550545147</v>
      </c>
      <c r="F37" s="7" t="str">
        <f aca="false">IF(E37&lt;=0.7,"A",IF(E37&lt;=0.9,"B","C"))</f>
        <v>C</v>
      </c>
      <c r="G37" s="7" t="n">
        <v>129</v>
      </c>
      <c r="H37" s="7" t="n">
        <v>50</v>
      </c>
    </row>
    <row r="38" customFormat="false" ht="15" hidden="false" customHeight="false" outlineLevel="0" collapsed="false">
      <c r="A38" s="7" t="n">
        <v>37</v>
      </c>
      <c r="B38" s="7" t="s">
        <v>652</v>
      </c>
      <c r="C38" s="7" t="n">
        <v>1.6</v>
      </c>
      <c r="D38" s="8" t="n">
        <f aca="false">C38/SUM($C$2:$C$70)</f>
        <v>0.00169365936276066</v>
      </c>
      <c r="E38" s="8" t="n">
        <f aca="false">E37+D38</f>
        <v>0.980311209907907</v>
      </c>
      <c r="F38" s="7" t="str">
        <f aca="false">IF(E38&lt;=0.7,"A",IF(E38&lt;=0.9,"B","C"))</f>
        <v>C</v>
      </c>
      <c r="G38" s="7" t="n">
        <v>43</v>
      </c>
      <c r="H38" s="7" t="n">
        <v>50</v>
      </c>
    </row>
    <row r="39" customFormat="false" ht="15" hidden="false" customHeight="false" outlineLevel="0" collapsed="false">
      <c r="A39" s="7" t="n">
        <v>38</v>
      </c>
      <c r="B39" s="7" t="s">
        <v>653</v>
      </c>
      <c r="C39" s="7" t="n">
        <v>1.4</v>
      </c>
      <c r="D39" s="8" t="n">
        <f aca="false">C39/SUM($C$2:$C$70)</f>
        <v>0.00148195194241558</v>
      </c>
      <c r="E39" s="8" t="n">
        <f aca="false">E38+D39</f>
        <v>0.981793161850323</v>
      </c>
      <c r="F39" s="7" t="str">
        <f aca="false">IF(E39&lt;=0.7,"A",IF(E39&lt;=0.9,"B","C"))</f>
        <v>C</v>
      </c>
      <c r="G39" s="7" t="n">
        <v>28</v>
      </c>
      <c r="H39" s="7" t="n">
        <v>50</v>
      </c>
    </row>
    <row r="40" customFormat="false" ht="15" hidden="false" customHeight="false" outlineLevel="0" collapsed="false">
      <c r="A40" s="7" t="n">
        <v>39</v>
      </c>
      <c r="B40" s="7" t="s">
        <v>654</v>
      </c>
      <c r="C40" s="7" t="n">
        <v>1.4</v>
      </c>
      <c r="D40" s="8" t="n">
        <f aca="false">C40/SUM($C$2:$C$70)</f>
        <v>0.00148195194241558</v>
      </c>
      <c r="E40" s="8" t="n">
        <f aca="false">E39+D40</f>
        <v>0.983275113792739</v>
      </c>
      <c r="F40" s="7" t="str">
        <f aca="false">IF(E40&lt;=0.7,"A",IF(E40&lt;=0.9,"B","C"))</f>
        <v>C</v>
      </c>
      <c r="G40" s="7" t="n">
        <v>194</v>
      </c>
      <c r="H40" s="7" t="n">
        <v>200</v>
      </c>
    </row>
    <row r="41" customFormat="false" ht="15" hidden="false" customHeight="false" outlineLevel="0" collapsed="false">
      <c r="A41" s="7" t="n">
        <v>40</v>
      </c>
      <c r="B41" s="7" t="s">
        <v>655</v>
      </c>
      <c r="C41" s="7" t="n">
        <v>1.4</v>
      </c>
      <c r="D41" s="8" t="n">
        <f aca="false">C41/SUM($C$2:$C$70)</f>
        <v>0.00148195194241558</v>
      </c>
      <c r="E41" s="8" t="n">
        <f aca="false">E40+D41</f>
        <v>0.984757065735154</v>
      </c>
      <c r="F41" s="7" t="str">
        <f aca="false">IF(E41&lt;=0.7,"A",IF(E41&lt;=0.9,"B","C"))</f>
        <v>C</v>
      </c>
      <c r="G41" s="7" t="n">
        <v>59</v>
      </c>
      <c r="H41" s="7" t="n">
        <v>50</v>
      </c>
    </row>
    <row r="42" customFormat="false" ht="15" hidden="false" customHeight="false" outlineLevel="0" collapsed="false">
      <c r="A42" s="7" t="n">
        <v>41</v>
      </c>
      <c r="B42" s="7" t="s">
        <v>656</v>
      </c>
      <c r="C42" s="7" t="n">
        <v>1.1</v>
      </c>
      <c r="D42" s="8" t="n">
        <f aca="false">C42/SUM($C$2:$C$70)</f>
        <v>0.00116439081189796</v>
      </c>
      <c r="E42" s="8" t="n">
        <f aca="false">E41+D42</f>
        <v>0.985921456547052</v>
      </c>
      <c r="F42" s="7" t="str">
        <f aca="false">IF(E42&lt;=0.7,"A",IF(E42&lt;=0.9,"B","C"))</f>
        <v>C</v>
      </c>
      <c r="G42" s="7" t="n">
        <v>102</v>
      </c>
      <c r="H42" s="7" t="n">
        <v>50</v>
      </c>
    </row>
    <row r="43" customFormat="false" ht="15" hidden="false" customHeight="false" outlineLevel="0" collapsed="false">
      <c r="A43" s="7" t="n">
        <v>42</v>
      </c>
      <c r="B43" s="7" t="s">
        <v>657</v>
      </c>
      <c r="C43" s="7" t="n">
        <v>0.8</v>
      </c>
      <c r="D43" s="8" t="n">
        <f aca="false">C43/SUM($C$2:$C$70)</f>
        <v>0.000846829681380332</v>
      </c>
      <c r="E43" s="8" t="n">
        <f aca="false">E42+D43</f>
        <v>0.986768286228433</v>
      </c>
      <c r="F43" s="7" t="str">
        <f aca="false">IF(E43&lt;=0.7,"A",IF(E43&lt;=0.9,"B","C"))</f>
        <v>C</v>
      </c>
      <c r="G43" s="7" t="n">
        <v>7</v>
      </c>
      <c r="H43" s="7" t="n">
        <v>0</v>
      </c>
    </row>
    <row r="44" customFormat="false" ht="15" hidden="false" customHeight="false" outlineLevel="0" collapsed="false">
      <c r="A44" s="7" t="n">
        <v>43</v>
      </c>
      <c r="B44" s="7" t="s">
        <v>658</v>
      </c>
      <c r="C44" s="7" t="n">
        <v>0.8</v>
      </c>
      <c r="D44" s="8" t="n">
        <f aca="false">C44/SUM($C$2:$C$70)</f>
        <v>0.000846829681380332</v>
      </c>
      <c r="E44" s="8" t="n">
        <f aca="false">E43+D44</f>
        <v>0.987615115909813</v>
      </c>
      <c r="F44" s="7" t="str">
        <f aca="false">IF(E44&lt;=0.7,"A",IF(E44&lt;=0.9,"B","C"))</f>
        <v>C</v>
      </c>
      <c r="G44" s="7" t="n">
        <v>300</v>
      </c>
      <c r="H44" s="7" t="n">
        <v>50</v>
      </c>
    </row>
    <row r="45" customFormat="false" ht="15" hidden="false" customHeight="false" outlineLevel="0" collapsed="false">
      <c r="A45" s="7" t="n">
        <v>44</v>
      </c>
      <c r="B45" s="7" t="s">
        <v>659</v>
      </c>
      <c r="C45" s="7" t="n">
        <v>0.8</v>
      </c>
      <c r="D45" s="8" t="n">
        <f aca="false">C45/SUM($C$2:$C$70)</f>
        <v>0.000846829681380332</v>
      </c>
      <c r="E45" s="8" t="n">
        <f aca="false">E44+D45</f>
        <v>0.988461945591193</v>
      </c>
      <c r="F45" s="7" t="str">
        <f aca="false">IF(E45&lt;=0.7,"A",IF(E45&lt;=0.9,"B","C"))</f>
        <v>C</v>
      </c>
      <c r="G45" s="7" t="n">
        <v>177</v>
      </c>
      <c r="H45" s="7" t="n">
        <v>150</v>
      </c>
    </row>
    <row r="46" customFormat="false" ht="15" hidden="false" customHeight="false" outlineLevel="0" collapsed="false">
      <c r="A46" s="7" t="n">
        <v>45</v>
      </c>
      <c r="B46" s="7" t="s">
        <v>660</v>
      </c>
      <c r="C46" s="7" t="n">
        <v>0.8</v>
      </c>
      <c r="D46" s="8" t="n">
        <f aca="false">C46/SUM($C$2:$C$70)</f>
        <v>0.000846829681380332</v>
      </c>
      <c r="E46" s="8" t="n">
        <f aca="false">E45+D46</f>
        <v>0.989308775272573</v>
      </c>
      <c r="F46" s="7" t="str">
        <f aca="false">IF(E46&lt;=0.7,"A",IF(E46&lt;=0.9,"B","C"))</f>
        <v>C</v>
      </c>
      <c r="G46" s="7" t="n">
        <v>62</v>
      </c>
      <c r="H46" s="7" t="n">
        <v>150</v>
      </c>
    </row>
    <row r="47" customFormat="false" ht="15" hidden="false" customHeight="false" outlineLevel="0" collapsed="false">
      <c r="A47" s="7" t="n">
        <v>46</v>
      </c>
      <c r="B47" s="7" t="s">
        <v>661</v>
      </c>
      <c r="C47" s="7" t="n">
        <v>0.8</v>
      </c>
      <c r="D47" s="8" t="n">
        <f aca="false">C47/SUM($C$2:$C$70)</f>
        <v>0.000846829681380332</v>
      </c>
      <c r="E47" s="8" t="n">
        <f aca="false">E46+D47</f>
        <v>0.990155604953954</v>
      </c>
      <c r="F47" s="7" t="str">
        <f aca="false">IF(E47&lt;=0.7,"A",IF(E47&lt;=0.9,"B","C"))</f>
        <v>C</v>
      </c>
      <c r="G47" s="7" t="n">
        <v>109</v>
      </c>
      <c r="H47" s="7" t="n">
        <v>50</v>
      </c>
    </row>
    <row r="48" customFormat="false" ht="15" hidden="false" customHeight="false" outlineLevel="0" collapsed="false">
      <c r="A48" s="7" t="n">
        <v>47</v>
      </c>
      <c r="B48" s="7" t="s">
        <v>662</v>
      </c>
      <c r="C48" s="7" t="n">
        <v>0.8</v>
      </c>
      <c r="D48" s="8" t="n">
        <f aca="false">C48/SUM($C$2:$C$70)</f>
        <v>0.000846829681380332</v>
      </c>
      <c r="E48" s="8" t="n">
        <f aca="false">E47+D48</f>
        <v>0.991002434635334</v>
      </c>
      <c r="F48" s="7" t="str">
        <f aca="false">IF(E48&lt;=0.7,"A",IF(E48&lt;=0.9,"B","C"))</f>
        <v>C</v>
      </c>
      <c r="G48" s="7" t="n">
        <v>193</v>
      </c>
      <c r="H48" s="7" t="n">
        <v>0</v>
      </c>
    </row>
    <row r="49" customFormat="false" ht="15" hidden="false" customHeight="false" outlineLevel="0" collapsed="false">
      <c r="A49" s="7" t="n">
        <v>48</v>
      </c>
      <c r="B49" s="7" t="s">
        <v>663</v>
      </c>
      <c r="C49" s="7" t="n">
        <v>0.8</v>
      </c>
      <c r="D49" s="8" t="n">
        <f aca="false">C49/SUM($C$2:$C$70)</f>
        <v>0.000846829681380332</v>
      </c>
      <c r="E49" s="8" t="n">
        <f aca="false">E48+D49</f>
        <v>0.991849264316714</v>
      </c>
      <c r="F49" s="7" t="str">
        <f aca="false">IF(E49&lt;=0.7,"A",IF(E49&lt;=0.9,"B","C"))</f>
        <v>C</v>
      </c>
      <c r="G49" s="7" t="n">
        <v>17</v>
      </c>
      <c r="H49" s="7" t="n">
        <v>0</v>
      </c>
    </row>
    <row r="50" customFormat="false" ht="15" hidden="false" customHeight="false" outlineLevel="0" collapsed="false">
      <c r="A50" s="7" t="n">
        <v>49</v>
      </c>
      <c r="B50" s="7" t="s">
        <v>664</v>
      </c>
      <c r="C50" s="7" t="n">
        <v>0.5</v>
      </c>
      <c r="D50" s="8" t="n">
        <f aca="false">C50/SUM($C$2:$C$70)</f>
        <v>0.000529268550862708</v>
      </c>
      <c r="E50" s="8" t="n">
        <f aca="false">E49+D50</f>
        <v>0.992378532867577</v>
      </c>
      <c r="F50" s="7" t="str">
        <f aca="false">IF(E50&lt;=0.7,"A",IF(E50&lt;=0.9,"B","C"))</f>
        <v>C</v>
      </c>
      <c r="G50" s="7" t="n">
        <v>189</v>
      </c>
      <c r="H50" s="7" t="n">
        <v>50</v>
      </c>
    </row>
    <row r="51" customFormat="false" ht="15" hidden="false" customHeight="false" outlineLevel="0" collapsed="false">
      <c r="A51" s="7" t="n">
        <v>50</v>
      </c>
      <c r="B51" s="7" t="s">
        <v>665</v>
      </c>
      <c r="C51" s="7" t="n">
        <v>0.5</v>
      </c>
      <c r="D51" s="8" t="n">
        <f aca="false">C51/SUM($C$2:$C$70)</f>
        <v>0.000529268550862708</v>
      </c>
      <c r="E51" s="8" t="n">
        <f aca="false">E50+D51</f>
        <v>0.99290780141844</v>
      </c>
      <c r="F51" s="7" t="str">
        <f aca="false">IF(E51&lt;=0.7,"A",IF(E51&lt;=0.9,"B","C"))</f>
        <v>C</v>
      </c>
      <c r="G51" s="7" t="n">
        <v>6</v>
      </c>
      <c r="H51" s="7" t="n">
        <v>150</v>
      </c>
    </row>
    <row r="52" customFormat="false" ht="15" hidden="false" customHeight="false" outlineLevel="0" collapsed="false">
      <c r="A52" s="7" t="n">
        <v>51</v>
      </c>
      <c r="B52" s="7" t="s">
        <v>666</v>
      </c>
      <c r="C52" s="7" t="n">
        <v>0.5</v>
      </c>
      <c r="D52" s="8" t="n">
        <f aca="false">C52/SUM($C$2:$C$70)</f>
        <v>0.000529268550862708</v>
      </c>
      <c r="E52" s="8" t="n">
        <f aca="false">E51+D52</f>
        <v>0.993437069969302</v>
      </c>
      <c r="F52" s="7" t="str">
        <f aca="false">IF(E52&lt;=0.7,"A",IF(E52&lt;=0.9,"B","C"))</f>
        <v>C</v>
      </c>
      <c r="G52" s="7" t="n">
        <v>147</v>
      </c>
      <c r="H52" s="7" t="n">
        <v>50</v>
      </c>
    </row>
    <row r="53" customFormat="false" ht="15" hidden="false" customHeight="false" outlineLevel="0" collapsed="false">
      <c r="A53" s="7" t="n">
        <v>52</v>
      </c>
      <c r="B53" s="7" t="s">
        <v>667</v>
      </c>
      <c r="C53" s="7" t="n">
        <v>0.5</v>
      </c>
      <c r="D53" s="8" t="n">
        <f aca="false">C53/SUM($C$2:$C$70)</f>
        <v>0.000529268550862708</v>
      </c>
      <c r="E53" s="8" t="n">
        <f aca="false">E52+D53</f>
        <v>0.993966338520165</v>
      </c>
      <c r="F53" s="7" t="str">
        <f aca="false">IF(E53&lt;=0.7,"A",IF(E53&lt;=0.9,"B","C"))</f>
        <v>C</v>
      </c>
      <c r="G53" s="7" t="n">
        <v>297</v>
      </c>
      <c r="H53" s="7" t="n">
        <v>50</v>
      </c>
    </row>
    <row r="54" customFormat="false" ht="15" hidden="false" customHeight="false" outlineLevel="0" collapsed="false">
      <c r="A54" s="7" t="n">
        <v>53</v>
      </c>
      <c r="B54" s="7" t="s">
        <v>668</v>
      </c>
      <c r="C54" s="7" t="n">
        <v>0.5</v>
      </c>
      <c r="D54" s="8" t="n">
        <f aca="false">C54/SUM($C$2:$C$70)</f>
        <v>0.000529268550862708</v>
      </c>
      <c r="E54" s="8" t="n">
        <f aca="false">E53+D54</f>
        <v>0.994495607071028</v>
      </c>
      <c r="F54" s="7" t="str">
        <f aca="false">IF(E54&lt;=0.7,"A",IF(E54&lt;=0.9,"B","C"))</f>
        <v>C</v>
      </c>
      <c r="G54" s="7" t="n">
        <v>12</v>
      </c>
      <c r="H54" s="7" t="n">
        <v>50</v>
      </c>
    </row>
    <row r="55" customFormat="false" ht="15" hidden="false" customHeight="false" outlineLevel="0" collapsed="false">
      <c r="A55" s="7" t="n">
        <v>54</v>
      </c>
      <c r="B55" s="7" t="s">
        <v>669</v>
      </c>
      <c r="C55" s="7" t="n">
        <v>0.5</v>
      </c>
      <c r="D55" s="8" t="n">
        <f aca="false">C55/SUM($C$2:$C$70)</f>
        <v>0.000529268550862708</v>
      </c>
      <c r="E55" s="8" t="n">
        <f aca="false">E54+D55</f>
        <v>0.99502487562189</v>
      </c>
      <c r="F55" s="7" t="str">
        <f aca="false">IF(E55&lt;=0.7,"A",IF(E55&lt;=0.9,"B","C"))</f>
        <v>C</v>
      </c>
      <c r="G55" s="7" t="n">
        <v>197</v>
      </c>
      <c r="H55" s="7" t="n">
        <v>0</v>
      </c>
    </row>
    <row r="56" customFormat="false" ht="15" hidden="false" customHeight="false" outlineLevel="0" collapsed="false">
      <c r="A56" s="7" t="n">
        <v>55</v>
      </c>
      <c r="B56" s="7" t="s">
        <v>670</v>
      </c>
      <c r="C56" s="7" t="n">
        <v>0.5</v>
      </c>
      <c r="D56" s="8" t="n">
        <f aca="false">C56/SUM($C$2:$C$70)</f>
        <v>0.000529268550862708</v>
      </c>
      <c r="E56" s="8" t="n">
        <f aca="false">E55+D56</f>
        <v>0.995554144172753</v>
      </c>
      <c r="F56" s="7" t="str">
        <f aca="false">IF(E56&lt;=0.7,"A",IF(E56&lt;=0.9,"B","C"))</f>
        <v>C</v>
      </c>
      <c r="G56" s="7" t="n">
        <v>141</v>
      </c>
      <c r="H56" s="7" t="n">
        <v>50</v>
      </c>
    </row>
    <row r="57" customFormat="false" ht="15" hidden="false" customHeight="false" outlineLevel="0" collapsed="false">
      <c r="A57" s="7" t="n">
        <v>56</v>
      </c>
      <c r="B57" s="7" t="s">
        <v>671</v>
      </c>
      <c r="C57" s="7" t="n">
        <v>0.3</v>
      </c>
      <c r="D57" s="8" t="n">
        <f aca="false">C57/SUM($C$2:$C$70)</f>
        <v>0.000317561130517625</v>
      </c>
      <c r="E57" s="8" t="n">
        <f aca="false">E56+D57</f>
        <v>0.995871705303271</v>
      </c>
      <c r="F57" s="7" t="str">
        <f aca="false">IF(E57&lt;=0.7,"A",IF(E57&lt;=0.9,"B","C"))</f>
        <v>C</v>
      </c>
      <c r="G57" s="7" t="n">
        <v>10</v>
      </c>
      <c r="H57" s="7" t="n">
        <v>100</v>
      </c>
    </row>
    <row r="58" customFormat="false" ht="15" hidden="false" customHeight="false" outlineLevel="0" collapsed="false">
      <c r="A58" s="7" t="n">
        <v>57</v>
      </c>
      <c r="B58" s="7" t="s">
        <v>672</v>
      </c>
      <c r="C58" s="7" t="n">
        <v>0.3</v>
      </c>
      <c r="D58" s="8" t="n">
        <f aca="false">C58/SUM($C$2:$C$70)</f>
        <v>0.000317561130517625</v>
      </c>
      <c r="E58" s="8" t="n">
        <f aca="false">E57+D58</f>
        <v>0.996189266433788</v>
      </c>
      <c r="F58" s="7" t="str">
        <f aca="false">IF(E58&lt;=0.7,"A",IF(E58&lt;=0.9,"B","C"))</f>
        <v>C</v>
      </c>
      <c r="G58" s="7" t="n">
        <v>7</v>
      </c>
      <c r="H58" s="7" t="n">
        <v>50</v>
      </c>
    </row>
    <row r="59" customFormat="false" ht="15" hidden="false" customHeight="false" outlineLevel="0" collapsed="false">
      <c r="A59" s="7" t="n">
        <v>58</v>
      </c>
      <c r="B59" s="7" t="s">
        <v>673</v>
      </c>
      <c r="C59" s="7" t="n">
        <v>0.3</v>
      </c>
      <c r="D59" s="8" t="n">
        <f aca="false">C59/SUM($C$2:$C$70)</f>
        <v>0.000317561130517625</v>
      </c>
      <c r="E59" s="8" t="n">
        <f aca="false">E58+D59</f>
        <v>0.996506827564306</v>
      </c>
      <c r="F59" s="7" t="str">
        <f aca="false">IF(E59&lt;=0.7,"A",IF(E59&lt;=0.9,"B","C"))</f>
        <v>C</v>
      </c>
      <c r="G59" s="7" t="n">
        <v>133</v>
      </c>
      <c r="H59" s="7" t="n">
        <v>50</v>
      </c>
    </row>
    <row r="60" customFormat="false" ht="15" hidden="false" customHeight="false" outlineLevel="0" collapsed="false">
      <c r="A60" s="7" t="n">
        <v>59</v>
      </c>
      <c r="B60" s="7" t="s">
        <v>674</v>
      </c>
      <c r="C60" s="7" t="n">
        <v>0.3</v>
      </c>
      <c r="D60" s="8" t="n">
        <f aca="false">C60/SUM($C$2:$C$70)</f>
        <v>0.000317561130517625</v>
      </c>
      <c r="E60" s="8" t="n">
        <f aca="false">E59+D60</f>
        <v>0.996824388694823</v>
      </c>
      <c r="F60" s="7" t="str">
        <f aca="false">IF(E60&lt;=0.7,"A",IF(E60&lt;=0.9,"B","C"))</f>
        <v>C</v>
      </c>
      <c r="G60" s="7" t="n">
        <v>131</v>
      </c>
      <c r="H60" s="7" t="n">
        <v>100</v>
      </c>
    </row>
    <row r="61" customFormat="false" ht="15" hidden="false" customHeight="false" outlineLevel="0" collapsed="false">
      <c r="A61" s="7" t="n">
        <v>60</v>
      </c>
      <c r="B61" s="7" t="s">
        <v>675</v>
      </c>
      <c r="C61" s="7" t="n">
        <v>0.3</v>
      </c>
      <c r="D61" s="8" t="n">
        <f aca="false">C61/SUM($C$2:$C$70)</f>
        <v>0.000317561130517625</v>
      </c>
      <c r="E61" s="8" t="n">
        <f aca="false">E60+D61</f>
        <v>0.997141949825341</v>
      </c>
      <c r="F61" s="7" t="str">
        <f aca="false">IF(E61&lt;=0.7,"A",IF(E61&lt;=0.9,"B","C"))</f>
        <v>C</v>
      </c>
      <c r="G61" s="7" t="n">
        <v>308</v>
      </c>
      <c r="H61" s="7" t="n">
        <v>50</v>
      </c>
    </row>
    <row r="62" customFormat="false" ht="15" hidden="false" customHeight="false" outlineLevel="0" collapsed="false">
      <c r="A62" s="7" t="n">
        <v>61</v>
      </c>
      <c r="B62" s="7" t="s">
        <v>676</v>
      </c>
      <c r="C62" s="7" t="n">
        <v>0.3</v>
      </c>
      <c r="D62" s="8" t="n">
        <f aca="false">C62/SUM($C$2:$C$70)</f>
        <v>0.000317561130517625</v>
      </c>
      <c r="E62" s="8" t="n">
        <f aca="false">E61+D62</f>
        <v>0.997459510955859</v>
      </c>
      <c r="F62" s="7" t="str">
        <f aca="false">IF(E62&lt;=0.7,"A",IF(E62&lt;=0.9,"B","C"))</f>
        <v>C</v>
      </c>
      <c r="G62" s="7" t="n">
        <v>505</v>
      </c>
      <c r="H62" s="7" t="n">
        <v>50</v>
      </c>
    </row>
    <row r="63" customFormat="false" ht="15" hidden="false" customHeight="false" outlineLevel="0" collapsed="false">
      <c r="A63" s="7" t="n">
        <v>62</v>
      </c>
      <c r="B63" s="7" t="s">
        <v>677</v>
      </c>
      <c r="C63" s="7" t="n">
        <v>0.3</v>
      </c>
      <c r="D63" s="8" t="n">
        <f aca="false">C63/SUM($C$2:$C$70)</f>
        <v>0.000317561130517625</v>
      </c>
      <c r="E63" s="8" t="n">
        <f aca="false">E62+D63</f>
        <v>0.997777072086376</v>
      </c>
      <c r="F63" s="7" t="str">
        <f aca="false">IF(E63&lt;=0.7,"A",IF(E63&lt;=0.9,"B","C"))</f>
        <v>C</v>
      </c>
      <c r="G63" s="7" t="n">
        <v>521</v>
      </c>
      <c r="H63" s="7" t="n">
        <v>50</v>
      </c>
    </row>
    <row r="64" customFormat="false" ht="15" hidden="false" customHeight="false" outlineLevel="0" collapsed="false">
      <c r="A64" s="7" t="n">
        <v>63</v>
      </c>
      <c r="B64" s="7" t="s">
        <v>678</v>
      </c>
      <c r="C64" s="7" t="n">
        <v>0.3</v>
      </c>
      <c r="D64" s="8" t="n">
        <f aca="false">C64/SUM($C$2:$C$70)</f>
        <v>0.000317561130517625</v>
      </c>
      <c r="E64" s="8" t="n">
        <f aca="false">E63+D64</f>
        <v>0.998094633216894</v>
      </c>
      <c r="F64" s="7" t="str">
        <f aca="false">IF(E64&lt;=0.7,"A",IF(E64&lt;=0.9,"B","C"))</f>
        <v>C</v>
      </c>
      <c r="G64" s="7" t="n">
        <v>301</v>
      </c>
      <c r="H64" s="7" t="n">
        <v>50</v>
      </c>
    </row>
    <row r="65" customFormat="false" ht="15" hidden="false" customHeight="false" outlineLevel="0" collapsed="false">
      <c r="A65" s="7" t="n">
        <v>64</v>
      </c>
      <c r="B65" s="7" t="s">
        <v>679</v>
      </c>
      <c r="C65" s="7" t="n">
        <v>0.3</v>
      </c>
      <c r="D65" s="8" t="n">
        <f aca="false">C65/SUM($C$2:$C$70)</f>
        <v>0.000317561130517625</v>
      </c>
      <c r="E65" s="8" t="n">
        <f aca="false">E64+D65</f>
        <v>0.998412194347412</v>
      </c>
      <c r="F65" s="7" t="str">
        <f aca="false">IF(E65&lt;=0.7,"A",IF(E65&lt;=0.9,"B","C"))</f>
        <v>C</v>
      </c>
      <c r="G65" s="7" t="n">
        <v>276</v>
      </c>
      <c r="H65" s="7" t="n">
        <v>50</v>
      </c>
    </row>
    <row r="66" customFormat="false" ht="15" hidden="false" customHeight="false" outlineLevel="0" collapsed="false">
      <c r="A66" s="7" t="n">
        <v>65</v>
      </c>
      <c r="B66" s="7" t="s">
        <v>680</v>
      </c>
      <c r="C66" s="7" t="n">
        <v>0.3</v>
      </c>
      <c r="D66" s="8" t="n">
        <f aca="false">C66/SUM($C$2:$C$70)</f>
        <v>0.000317561130517625</v>
      </c>
      <c r="E66" s="8" t="n">
        <f aca="false">E65+D66</f>
        <v>0.998729755477929</v>
      </c>
      <c r="F66" s="7" t="str">
        <f aca="false">IF(E66&lt;=0.7,"A",IF(E66&lt;=0.9,"B","C"))</f>
        <v>C</v>
      </c>
      <c r="G66" s="7" t="n">
        <v>227</v>
      </c>
      <c r="H66" s="7" t="n">
        <v>50</v>
      </c>
    </row>
    <row r="67" customFormat="false" ht="15" hidden="false" customHeight="false" outlineLevel="0" collapsed="false">
      <c r="A67" s="7" t="n">
        <v>66</v>
      </c>
      <c r="B67" s="7" t="s">
        <v>681</v>
      </c>
      <c r="C67" s="7" t="n">
        <v>0.3</v>
      </c>
      <c r="D67" s="8" t="n">
        <f aca="false">C67/SUM($C$2:$C$70)</f>
        <v>0.000317561130517625</v>
      </c>
      <c r="E67" s="8" t="n">
        <f aca="false">E66+D67</f>
        <v>0.999047316608447</v>
      </c>
      <c r="F67" s="7" t="str">
        <f aca="false">IF(E67&lt;=0.7,"A",IF(E67&lt;=0.9,"B","C"))</f>
        <v>C</v>
      </c>
      <c r="G67" s="7" t="n">
        <v>202</v>
      </c>
      <c r="H67" s="7" t="n">
        <v>0</v>
      </c>
    </row>
    <row r="68" customFormat="false" ht="15" hidden="false" customHeight="false" outlineLevel="0" collapsed="false">
      <c r="A68" s="7" t="n">
        <v>67</v>
      </c>
      <c r="B68" s="7" t="s">
        <v>682</v>
      </c>
      <c r="C68" s="7" t="n">
        <v>0.3</v>
      </c>
      <c r="D68" s="8" t="n">
        <f aca="false">C68/SUM($C$2:$C$70)</f>
        <v>0.000317561130517625</v>
      </c>
      <c r="E68" s="8" t="n">
        <f aca="false">E67+D68</f>
        <v>0.999364877738964</v>
      </c>
      <c r="F68" s="7" t="str">
        <f aca="false">IF(E68&lt;=0.7,"A",IF(E68&lt;=0.9,"B","C"))</f>
        <v>C</v>
      </c>
      <c r="G68" s="7" t="n">
        <v>99</v>
      </c>
      <c r="H68" s="7" t="n">
        <v>0</v>
      </c>
    </row>
    <row r="69" customFormat="false" ht="15" hidden="false" customHeight="false" outlineLevel="0" collapsed="false">
      <c r="A69" s="7" t="n">
        <v>68</v>
      </c>
      <c r="B69" s="7" t="s">
        <v>683</v>
      </c>
      <c r="C69" s="7" t="n">
        <v>0.3</v>
      </c>
      <c r="D69" s="8" t="n">
        <f aca="false">C69/SUM($C$2:$C$70)</f>
        <v>0.000317561130517625</v>
      </c>
      <c r="E69" s="8" t="n">
        <f aca="false">E68+D69</f>
        <v>0.999682438869482</v>
      </c>
      <c r="F69" s="7" t="str">
        <f aca="false">IF(E69&lt;=0.7,"A",IF(E69&lt;=0.9,"B","C"))</f>
        <v>C</v>
      </c>
      <c r="G69" s="7" t="n">
        <v>149</v>
      </c>
      <c r="H69" s="7" t="n">
        <v>0</v>
      </c>
    </row>
    <row r="70" customFormat="false" ht="15" hidden="false" customHeight="false" outlineLevel="0" collapsed="false">
      <c r="A70" s="7" t="n">
        <v>69</v>
      </c>
      <c r="B70" s="7" t="s">
        <v>684</v>
      </c>
      <c r="C70" s="7" t="n">
        <v>0.3</v>
      </c>
      <c r="D70" s="8" t="n">
        <f aca="false">C70/SUM($C$2:$C$70)</f>
        <v>0.000317561130517625</v>
      </c>
      <c r="E70" s="8" t="n">
        <f aca="false">E69+D70</f>
        <v>1</v>
      </c>
      <c r="F70" s="7" t="str">
        <f aca="false">IF(E70&lt;=0.7,"A",IF(E70&lt;=0.9,"B","C"))</f>
        <v>C</v>
      </c>
      <c r="G70" s="7" t="n">
        <v>196</v>
      </c>
      <c r="H70" s="7" t="n">
        <v>0</v>
      </c>
    </row>
    <row r="71" customFormat="false" ht="15" hidden="false" customHeight="false" outlineLevel="0" collapsed="false">
      <c r="A71" s="9" t="n">
        <v>70</v>
      </c>
      <c r="B71" s="9" t="s">
        <v>685</v>
      </c>
      <c r="C71" s="9" t="n">
        <v>0</v>
      </c>
      <c r="D71" s="9"/>
      <c r="E71" s="9"/>
      <c r="F71" s="9" t="s">
        <v>196</v>
      </c>
      <c r="G71" s="9" t="n">
        <v>23</v>
      </c>
      <c r="H71" s="9" t="n">
        <v>50</v>
      </c>
    </row>
    <row r="72" customFormat="false" ht="15" hidden="false" customHeight="false" outlineLevel="0" collapsed="false">
      <c r="A72" s="9" t="n">
        <v>71</v>
      </c>
      <c r="B72" s="9" t="s">
        <v>686</v>
      </c>
      <c r="C72" s="9" t="n">
        <v>0</v>
      </c>
      <c r="D72" s="9"/>
      <c r="E72" s="9"/>
      <c r="F72" s="9" t="s">
        <v>196</v>
      </c>
      <c r="G72" s="9" t="n">
        <v>16</v>
      </c>
      <c r="H72" s="9" t="n">
        <v>0</v>
      </c>
    </row>
    <row r="73" customFormat="false" ht="15" hidden="false" customHeight="false" outlineLevel="0" collapsed="false">
      <c r="A73" s="9" t="n">
        <v>72</v>
      </c>
      <c r="B73" s="9" t="s">
        <v>687</v>
      </c>
      <c r="C73" s="9" t="n">
        <v>0</v>
      </c>
      <c r="D73" s="9"/>
      <c r="E73" s="9"/>
      <c r="F73" s="9" t="s">
        <v>196</v>
      </c>
      <c r="G73" s="9" t="n">
        <v>19</v>
      </c>
      <c r="H73" s="9" t="n">
        <v>0</v>
      </c>
    </row>
    <row r="74" customFormat="false" ht="15" hidden="false" customHeight="false" outlineLevel="0" collapsed="false">
      <c r="A74" s="9" t="n">
        <v>73</v>
      </c>
      <c r="B74" s="9" t="s">
        <v>688</v>
      </c>
      <c r="C74" s="9" t="n">
        <v>0</v>
      </c>
      <c r="D74" s="9"/>
      <c r="E74" s="9"/>
      <c r="F74" s="9" t="s">
        <v>196</v>
      </c>
      <c r="G74" s="9" t="n">
        <v>3</v>
      </c>
      <c r="H74" s="9" t="n">
        <v>0</v>
      </c>
    </row>
    <row r="75" customFormat="false" ht="15" hidden="false" customHeight="false" outlineLevel="0" collapsed="false">
      <c r="A75" s="9" t="n">
        <v>74</v>
      </c>
      <c r="B75" s="9" t="s">
        <v>689</v>
      </c>
      <c r="C75" s="9" t="n">
        <v>0</v>
      </c>
      <c r="D75" s="9"/>
      <c r="E75" s="9"/>
      <c r="F75" s="9" t="s">
        <v>196</v>
      </c>
      <c r="G75" s="9" t="n">
        <v>27</v>
      </c>
      <c r="H75" s="9" t="n">
        <v>0</v>
      </c>
    </row>
    <row r="76" customFormat="false" ht="15" hidden="false" customHeight="false" outlineLevel="0" collapsed="false">
      <c r="A76" s="9" t="n">
        <v>75</v>
      </c>
      <c r="B76" s="9" t="s">
        <v>690</v>
      </c>
      <c r="C76" s="9" t="n">
        <v>0</v>
      </c>
      <c r="D76" s="9"/>
      <c r="E76" s="9"/>
      <c r="F76" s="9" t="s">
        <v>196</v>
      </c>
      <c r="G76" s="9" t="n">
        <v>30</v>
      </c>
      <c r="H76" s="9" t="n">
        <v>0</v>
      </c>
    </row>
    <row r="77" customFormat="false" ht="15" hidden="false" customHeight="false" outlineLevel="0" collapsed="false">
      <c r="A77" s="9" t="n">
        <v>76</v>
      </c>
      <c r="B77" s="9" t="s">
        <v>691</v>
      </c>
      <c r="C77" s="9" t="n">
        <v>0</v>
      </c>
      <c r="D77" s="9"/>
      <c r="E77" s="9"/>
      <c r="F77" s="9" t="s">
        <v>196</v>
      </c>
      <c r="G77" s="9" t="n">
        <v>200</v>
      </c>
      <c r="H77" s="9" t="n">
        <v>0</v>
      </c>
    </row>
    <row r="78" customFormat="false" ht="15" hidden="false" customHeight="false" outlineLevel="0" collapsed="false">
      <c r="A78" s="9" t="n">
        <v>77</v>
      </c>
      <c r="B78" s="9" t="s">
        <v>692</v>
      </c>
      <c r="C78" s="9" t="n">
        <v>0</v>
      </c>
      <c r="D78" s="9"/>
      <c r="E78" s="9"/>
      <c r="F78" s="9" t="s">
        <v>196</v>
      </c>
      <c r="G78" s="9" t="n">
        <v>111</v>
      </c>
      <c r="H78" s="9" t="n">
        <v>50</v>
      </c>
    </row>
    <row r="79" customFormat="false" ht="15" hidden="false" customHeight="false" outlineLevel="0" collapsed="false">
      <c r="A79" s="9" t="n">
        <v>78</v>
      </c>
      <c r="B79" s="9" t="s">
        <v>693</v>
      </c>
      <c r="C79" s="9" t="n">
        <v>0</v>
      </c>
      <c r="D79" s="9"/>
      <c r="E79" s="9"/>
      <c r="F79" s="9" t="s">
        <v>196</v>
      </c>
      <c r="G79" s="9" t="n">
        <v>99</v>
      </c>
      <c r="H79" s="9" t="n">
        <v>0</v>
      </c>
    </row>
    <row r="80" customFormat="false" ht="15" hidden="false" customHeight="false" outlineLevel="0" collapsed="false">
      <c r="A80" s="9" t="n">
        <v>79</v>
      </c>
      <c r="B80" s="9" t="s">
        <v>694</v>
      </c>
      <c r="C80" s="9" t="n">
        <v>0</v>
      </c>
      <c r="D80" s="9"/>
      <c r="E80" s="9"/>
      <c r="F80" s="9" t="s">
        <v>196</v>
      </c>
      <c r="G80" s="9" t="n">
        <v>90</v>
      </c>
      <c r="H80" s="9" t="n">
        <v>0</v>
      </c>
    </row>
    <row r="81" customFormat="false" ht="15" hidden="false" customHeight="false" outlineLevel="0" collapsed="false">
      <c r="A81" s="9" t="n">
        <v>80</v>
      </c>
      <c r="B81" s="9" t="s">
        <v>695</v>
      </c>
      <c r="C81" s="9" t="n">
        <v>0</v>
      </c>
      <c r="D81" s="9"/>
      <c r="E81" s="9"/>
      <c r="F81" s="9" t="s">
        <v>196</v>
      </c>
      <c r="G81" s="9" t="n">
        <v>13</v>
      </c>
      <c r="H81" s="9" t="n">
        <v>0</v>
      </c>
    </row>
    <row r="82" customFormat="false" ht="15" hidden="false" customHeight="false" outlineLevel="0" collapsed="false">
      <c r="A82" s="9" t="n">
        <v>81</v>
      </c>
      <c r="B82" s="9" t="s">
        <v>696</v>
      </c>
      <c r="C82" s="9" t="n">
        <v>0</v>
      </c>
      <c r="D82" s="9"/>
      <c r="E82" s="9"/>
      <c r="F82" s="9" t="s">
        <v>196</v>
      </c>
      <c r="G82" s="9" t="n">
        <v>190</v>
      </c>
      <c r="H82" s="9" t="n">
        <v>100</v>
      </c>
    </row>
    <row r="83" customFormat="false" ht="15" hidden="false" customHeight="false" outlineLevel="0" collapsed="false">
      <c r="A83" s="9" t="n">
        <v>82</v>
      </c>
      <c r="B83" s="9" t="s">
        <v>697</v>
      </c>
      <c r="C83" s="9" t="n">
        <v>0</v>
      </c>
      <c r="D83" s="9"/>
      <c r="E83" s="9"/>
      <c r="F83" s="9" t="s">
        <v>196</v>
      </c>
      <c r="G83" s="9" t="n">
        <v>26</v>
      </c>
      <c r="H83" s="9" t="n">
        <v>50</v>
      </c>
    </row>
    <row r="84" customFormat="false" ht="15" hidden="false" customHeight="false" outlineLevel="0" collapsed="false">
      <c r="A84" s="9" t="n">
        <v>83</v>
      </c>
      <c r="B84" s="9" t="s">
        <v>698</v>
      </c>
      <c r="C84" s="9" t="n">
        <v>0</v>
      </c>
      <c r="D84" s="9"/>
      <c r="E84" s="9"/>
      <c r="F84" s="9" t="s">
        <v>196</v>
      </c>
      <c r="G84" s="9" t="n">
        <v>150</v>
      </c>
      <c r="H84" s="9" t="n">
        <v>0</v>
      </c>
    </row>
    <row r="85" customFormat="false" ht="15" hidden="false" customHeight="false" outlineLevel="0" collapsed="false">
      <c r="A85" s="9" t="n">
        <v>84</v>
      </c>
      <c r="B85" s="9" t="s">
        <v>699</v>
      </c>
      <c r="C85" s="9" t="n">
        <v>0</v>
      </c>
      <c r="D85" s="9"/>
      <c r="E85" s="9"/>
      <c r="F85" s="9" t="s">
        <v>196</v>
      </c>
      <c r="G85" s="9" t="n">
        <v>180</v>
      </c>
      <c r="H85" s="9" t="n">
        <v>0</v>
      </c>
    </row>
    <row r="86" customFormat="false" ht="15" hidden="false" customHeight="false" outlineLevel="0" collapsed="false">
      <c r="A86" s="9" t="n">
        <v>85</v>
      </c>
      <c r="B86" s="9" t="s">
        <v>700</v>
      </c>
      <c r="C86" s="9" t="n">
        <v>0</v>
      </c>
      <c r="D86" s="9"/>
      <c r="E86" s="9"/>
      <c r="F86" s="9" t="s">
        <v>196</v>
      </c>
      <c r="G86" s="9" t="n">
        <v>18</v>
      </c>
      <c r="H86" s="9" t="n">
        <v>0</v>
      </c>
    </row>
    <row r="87" customFormat="false" ht="15" hidden="false" customHeight="false" outlineLevel="0" collapsed="false">
      <c r="A87" s="9" t="n">
        <v>86</v>
      </c>
      <c r="B87" s="9" t="s">
        <v>701</v>
      </c>
      <c r="C87" s="9" t="n">
        <v>0</v>
      </c>
      <c r="D87" s="9"/>
      <c r="E87" s="9"/>
      <c r="F87" s="9" t="s">
        <v>196</v>
      </c>
      <c r="G87" s="9" t="n">
        <v>85</v>
      </c>
      <c r="H87" s="9" t="n">
        <v>100</v>
      </c>
    </row>
    <row r="88" customFormat="false" ht="15" hidden="false" customHeight="false" outlineLevel="0" collapsed="false">
      <c r="A88" s="9" t="n">
        <v>87</v>
      </c>
      <c r="B88" s="9" t="s">
        <v>702</v>
      </c>
      <c r="C88" s="9" t="n">
        <v>0</v>
      </c>
      <c r="D88" s="9"/>
      <c r="E88" s="9"/>
      <c r="F88" s="9" t="s">
        <v>196</v>
      </c>
      <c r="G88" s="9" t="n">
        <v>1</v>
      </c>
      <c r="H88" s="9" t="n">
        <v>100</v>
      </c>
    </row>
    <row r="89" customFormat="false" ht="15" hidden="false" customHeight="false" outlineLevel="0" collapsed="false">
      <c r="A89" s="9" t="n">
        <v>88</v>
      </c>
      <c r="B89" s="9" t="s">
        <v>703</v>
      </c>
      <c r="C89" s="9" t="n">
        <v>0</v>
      </c>
      <c r="D89" s="9"/>
      <c r="E89" s="9"/>
      <c r="F89" s="9" t="s">
        <v>196</v>
      </c>
      <c r="G89" s="9" t="n">
        <v>4</v>
      </c>
      <c r="H89" s="9" t="n">
        <v>0</v>
      </c>
    </row>
    <row r="90" customFormat="false" ht="15" hidden="false" customHeight="false" outlineLevel="0" collapsed="false">
      <c r="A90" s="9" t="n">
        <v>89</v>
      </c>
      <c r="B90" s="9" t="s">
        <v>704</v>
      </c>
      <c r="C90" s="9" t="n">
        <v>0</v>
      </c>
      <c r="D90" s="9"/>
      <c r="E90" s="9"/>
      <c r="F90" s="9" t="s">
        <v>196</v>
      </c>
      <c r="G90" s="9" t="n">
        <v>12</v>
      </c>
      <c r="H90" s="9" t="n">
        <v>50</v>
      </c>
    </row>
    <row r="91" customFormat="false" ht="15" hidden="false" customHeight="false" outlineLevel="0" collapsed="false">
      <c r="A91" s="9" t="n">
        <v>90</v>
      </c>
      <c r="B91" s="9" t="s">
        <v>705</v>
      </c>
      <c r="C91" s="9" t="n">
        <v>0</v>
      </c>
      <c r="D91" s="9"/>
      <c r="E91" s="9"/>
      <c r="F91" s="9" t="s">
        <v>196</v>
      </c>
      <c r="G91" s="9" t="n">
        <v>12</v>
      </c>
      <c r="H91" s="9" t="n">
        <v>50</v>
      </c>
    </row>
    <row r="92" customFormat="false" ht="15" hidden="false" customHeight="false" outlineLevel="0" collapsed="false">
      <c r="A92" s="9" t="n">
        <v>91</v>
      </c>
      <c r="B92" s="9" t="s">
        <v>706</v>
      </c>
      <c r="C92" s="9" t="n">
        <v>0</v>
      </c>
      <c r="D92" s="9"/>
      <c r="E92" s="9"/>
      <c r="F92" s="9" t="s">
        <v>196</v>
      </c>
      <c r="G92" s="9" t="n">
        <v>151</v>
      </c>
      <c r="H92" s="9" t="n">
        <v>0</v>
      </c>
    </row>
    <row r="93" customFormat="false" ht="15" hidden="false" customHeight="false" outlineLevel="0" collapsed="false">
      <c r="A93" s="9" t="n">
        <v>92</v>
      </c>
      <c r="B93" s="9" t="s">
        <v>707</v>
      </c>
      <c r="C93" s="9" t="n">
        <v>0</v>
      </c>
      <c r="D93" s="9"/>
      <c r="E93" s="9"/>
      <c r="F93" s="9" t="s">
        <v>196</v>
      </c>
      <c r="G93" s="9" t="n">
        <v>71</v>
      </c>
      <c r="H93" s="9" t="n">
        <v>100</v>
      </c>
    </row>
    <row r="94" customFormat="false" ht="15" hidden="false" customHeight="false" outlineLevel="0" collapsed="false">
      <c r="A94" s="9" t="n">
        <v>93</v>
      </c>
      <c r="B94" s="9" t="s">
        <v>708</v>
      </c>
      <c r="C94" s="9" t="n">
        <v>0</v>
      </c>
      <c r="D94" s="9"/>
      <c r="E94" s="9"/>
      <c r="F94" s="9" t="s">
        <v>196</v>
      </c>
      <c r="G94" s="9" t="n">
        <v>58</v>
      </c>
      <c r="H94" s="9" t="n">
        <v>0</v>
      </c>
    </row>
    <row r="95" customFormat="false" ht="15" hidden="false" customHeight="false" outlineLevel="0" collapsed="false">
      <c r="A95" s="9" t="n">
        <v>94</v>
      </c>
      <c r="B95" s="9" t="s">
        <v>709</v>
      </c>
      <c r="C95" s="9" t="n">
        <v>0</v>
      </c>
      <c r="D95" s="9"/>
      <c r="E95" s="9"/>
      <c r="F95" s="9" t="s">
        <v>196</v>
      </c>
      <c r="G95" s="9" t="n">
        <v>4</v>
      </c>
      <c r="H95" s="9" t="n">
        <v>50</v>
      </c>
    </row>
    <row r="96" customFormat="false" ht="15" hidden="false" customHeight="false" outlineLevel="0" collapsed="false">
      <c r="A96" s="9" t="n">
        <v>95</v>
      </c>
      <c r="B96" s="9" t="s">
        <v>710</v>
      </c>
      <c r="C96" s="9" t="n">
        <v>0</v>
      </c>
      <c r="D96" s="9"/>
      <c r="E96" s="9"/>
      <c r="F96" s="9" t="s">
        <v>196</v>
      </c>
      <c r="G96" s="9" t="n">
        <v>241</v>
      </c>
      <c r="H96" s="9" t="n">
        <v>170</v>
      </c>
    </row>
    <row r="97" customFormat="false" ht="15" hidden="false" customHeight="false" outlineLevel="0" collapsed="false">
      <c r="A97" s="9" t="n">
        <v>96</v>
      </c>
      <c r="B97" s="9" t="s">
        <v>711</v>
      </c>
      <c r="C97" s="9" t="n">
        <v>0</v>
      </c>
      <c r="D97" s="9"/>
      <c r="E97" s="9"/>
      <c r="F97" s="9" t="s">
        <v>196</v>
      </c>
      <c r="G97" s="9" t="n">
        <v>60</v>
      </c>
      <c r="H97" s="9" t="n">
        <v>0</v>
      </c>
    </row>
    <row r="98" customFormat="false" ht="15" hidden="false" customHeight="false" outlineLevel="0" collapsed="false">
      <c r="A98" s="9" t="n">
        <v>97</v>
      </c>
      <c r="B98" s="9" t="s">
        <v>712</v>
      </c>
      <c r="C98" s="9" t="n">
        <v>0</v>
      </c>
      <c r="D98" s="9"/>
      <c r="E98" s="9"/>
      <c r="F98" s="9" t="s">
        <v>196</v>
      </c>
      <c r="G98" s="9" t="n">
        <v>50</v>
      </c>
      <c r="H98" s="9" t="n">
        <v>50</v>
      </c>
    </row>
    <row r="99" customFormat="false" ht="15" hidden="false" customHeight="false" outlineLevel="0" collapsed="false">
      <c r="A99" s="9" t="n">
        <v>98</v>
      </c>
      <c r="B99" s="9" t="s">
        <v>713</v>
      </c>
      <c r="C99" s="9" t="n">
        <v>0</v>
      </c>
      <c r="D99" s="9"/>
      <c r="E99" s="9"/>
      <c r="F99" s="9" t="s">
        <v>196</v>
      </c>
      <c r="G99" s="9" t="n">
        <v>96</v>
      </c>
      <c r="H99" s="9" t="n">
        <v>50</v>
      </c>
    </row>
    <row r="100" customFormat="false" ht="15" hidden="false" customHeight="false" outlineLevel="0" collapsed="false">
      <c r="A100" s="9" t="n">
        <v>99</v>
      </c>
      <c r="B100" s="9" t="s">
        <v>714</v>
      </c>
      <c r="C100" s="9" t="n">
        <v>0</v>
      </c>
      <c r="D100" s="9"/>
      <c r="E100" s="9"/>
      <c r="F100" s="9" t="s">
        <v>196</v>
      </c>
      <c r="G100" s="9" t="n">
        <v>149</v>
      </c>
      <c r="H100" s="9" t="n">
        <v>50</v>
      </c>
    </row>
    <row r="101" customFormat="false" ht="15" hidden="false" customHeight="false" outlineLevel="0" collapsed="false">
      <c r="A101" s="9" t="n">
        <v>100</v>
      </c>
      <c r="B101" s="9" t="s">
        <v>715</v>
      </c>
      <c r="C101" s="9" t="n">
        <v>0</v>
      </c>
      <c r="D101" s="9"/>
      <c r="E101" s="9"/>
      <c r="F101" s="9" t="s">
        <v>196</v>
      </c>
      <c r="G101" s="9" t="n">
        <v>200</v>
      </c>
      <c r="H101" s="9" t="n">
        <v>0</v>
      </c>
    </row>
    <row r="102" customFormat="false" ht="15" hidden="false" customHeight="false" outlineLevel="0" collapsed="false">
      <c r="A102" s="9" t="n">
        <v>101</v>
      </c>
      <c r="B102" s="9" t="s">
        <v>716</v>
      </c>
      <c r="C102" s="9" t="n">
        <v>0</v>
      </c>
      <c r="D102" s="9"/>
      <c r="E102" s="9"/>
      <c r="F102" s="9" t="s">
        <v>196</v>
      </c>
      <c r="G102" s="9" t="n">
        <v>4</v>
      </c>
      <c r="H102" s="9" t="n">
        <v>50</v>
      </c>
    </row>
    <row r="103" customFormat="false" ht="15" hidden="false" customHeight="false" outlineLevel="0" collapsed="false">
      <c r="A103" s="9" t="n">
        <v>102</v>
      </c>
      <c r="B103" s="9" t="s">
        <v>717</v>
      </c>
      <c r="C103" s="9" t="n">
        <v>0</v>
      </c>
      <c r="D103" s="9"/>
      <c r="E103" s="9"/>
      <c r="F103" s="9" t="s">
        <v>196</v>
      </c>
      <c r="G103" s="9" t="n">
        <v>407</v>
      </c>
      <c r="H103" s="9" t="n">
        <v>50</v>
      </c>
    </row>
    <row r="104" customFormat="false" ht="15" hidden="false" customHeight="false" outlineLevel="0" collapsed="false">
      <c r="A104" s="9" t="n">
        <v>103</v>
      </c>
      <c r="B104" s="9" t="s">
        <v>718</v>
      </c>
      <c r="C104" s="9" t="n">
        <v>0</v>
      </c>
      <c r="D104" s="9"/>
      <c r="E104" s="9"/>
      <c r="F104" s="9" t="s">
        <v>196</v>
      </c>
      <c r="G104" s="9" t="n">
        <v>467</v>
      </c>
      <c r="H104" s="9" t="n">
        <v>50</v>
      </c>
    </row>
    <row r="105" customFormat="false" ht="15" hidden="false" customHeight="false" outlineLevel="0" collapsed="false">
      <c r="A105" s="9" t="n">
        <v>104</v>
      </c>
      <c r="B105" s="9" t="s">
        <v>719</v>
      </c>
      <c r="C105" s="9" t="n">
        <v>0</v>
      </c>
      <c r="D105" s="9"/>
      <c r="E105" s="9"/>
      <c r="F105" s="9" t="s">
        <v>196</v>
      </c>
      <c r="G105" s="9" t="n">
        <v>18</v>
      </c>
      <c r="H105" s="9" t="n">
        <v>50</v>
      </c>
    </row>
    <row r="106" customFormat="false" ht="15" hidden="false" customHeight="false" outlineLevel="0" collapsed="false">
      <c r="A106" s="9" t="n">
        <v>105</v>
      </c>
      <c r="B106" s="9" t="s">
        <v>720</v>
      </c>
      <c r="C106" s="9" t="n">
        <v>0</v>
      </c>
      <c r="D106" s="9"/>
      <c r="E106" s="9"/>
      <c r="F106" s="9" t="s">
        <v>196</v>
      </c>
      <c r="G106" s="9" t="n">
        <v>215</v>
      </c>
      <c r="H106" s="9" t="n">
        <v>0</v>
      </c>
    </row>
    <row r="107" customFormat="false" ht="15" hidden="false" customHeight="false" outlineLevel="0" collapsed="false">
      <c r="A107" s="9" t="n">
        <v>106</v>
      </c>
      <c r="B107" s="9" t="s">
        <v>721</v>
      </c>
      <c r="C107" s="9" t="n">
        <v>0</v>
      </c>
      <c r="D107" s="9"/>
      <c r="E107" s="9"/>
      <c r="F107" s="9" t="s">
        <v>196</v>
      </c>
      <c r="G107" s="9" t="n">
        <v>57</v>
      </c>
      <c r="H107" s="9" t="n">
        <v>0</v>
      </c>
    </row>
    <row r="108" customFormat="false" ht="15" hidden="false" customHeight="false" outlineLevel="0" collapsed="false">
      <c r="A108" s="9" t="n">
        <v>107</v>
      </c>
      <c r="B108" s="9" t="s">
        <v>722</v>
      </c>
      <c r="C108" s="9" t="n">
        <v>0</v>
      </c>
      <c r="D108" s="9"/>
      <c r="E108" s="9"/>
      <c r="F108" s="9" t="s">
        <v>196</v>
      </c>
      <c r="G108" s="9" t="n">
        <v>10</v>
      </c>
      <c r="H108" s="9" t="n">
        <v>0</v>
      </c>
    </row>
    <row r="109" customFormat="false" ht="15" hidden="false" customHeight="false" outlineLevel="0" collapsed="false">
      <c r="A109" s="9" t="n">
        <v>108</v>
      </c>
      <c r="B109" s="9" t="s">
        <v>723</v>
      </c>
      <c r="C109" s="9" t="n">
        <v>0</v>
      </c>
      <c r="D109" s="9"/>
      <c r="E109" s="9"/>
      <c r="F109" s="9" t="s">
        <v>196</v>
      </c>
      <c r="G109" s="9" t="n">
        <v>1</v>
      </c>
      <c r="H109" s="9" t="n">
        <v>50</v>
      </c>
    </row>
    <row r="110" customFormat="false" ht="15" hidden="false" customHeight="false" outlineLevel="0" collapsed="false">
      <c r="A110" s="9" t="n">
        <v>109</v>
      </c>
      <c r="B110" s="9" t="s">
        <v>724</v>
      </c>
      <c r="C110" s="9" t="n">
        <v>0</v>
      </c>
      <c r="D110" s="9"/>
      <c r="E110" s="9"/>
      <c r="F110" s="9" t="s">
        <v>196</v>
      </c>
      <c r="G110" s="9" t="n">
        <v>11</v>
      </c>
      <c r="H110" s="9" t="n">
        <v>50</v>
      </c>
    </row>
    <row r="111" customFormat="false" ht="15" hidden="false" customHeight="false" outlineLevel="0" collapsed="false">
      <c r="A111" s="9" t="n">
        <v>110</v>
      </c>
      <c r="B111" s="9" t="s">
        <v>725</v>
      </c>
      <c r="C111" s="9" t="n">
        <v>0</v>
      </c>
      <c r="D111" s="9"/>
      <c r="E111" s="9"/>
      <c r="F111" s="9" t="s">
        <v>196</v>
      </c>
      <c r="G111" s="9" t="n">
        <v>7</v>
      </c>
      <c r="H111" s="9" t="n">
        <v>50</v>
      </c>
    </row>
    <row r="112" customFormat="false" ht="15" hidden="false" customHeight="false" outlineLevel="0" collapsed="false">
      <c r="A112" s="9" t="n">
        <v>111</v>
      </c>
      <c r="B112" s="9" t="s">
        <v>726</v>
      </c>
      <c r="C112" s="9" t="n">
        <v>0</v>
      </c>
      <c r="D112" s="9"/>
      <c r="E112" s="9"/>
      <c r="F112" s="9" t="s">
        <v>196</v>
      </c>
      <c r="G112" s="9" t="n">
        <v>200</v>
      </c>
      <c r="H112" s="9" t="n">
        <v>0</v>
      </c>
    </row>
    <row r="113" customFormat="false" ht="15" hidden="false" customHeight="false" outlineLevel="0" collapsed="false">
      <c r="A113" s="9" t="n">
        <v>112</v>
      </c>
      <c r="B113" s="9" t="s">
        <v>727</v>
      </c>
      <c r="C113" s="9" t="n">
        <v>0</v>
      </c>
      <c r="D113" s="9"/>
      <c r="E113" s="9"/>
      <c r="F113" s="9" t="s">
        <v>196</v>
      </c>
      <c r="G113" s="9" t="n">
        <v>10</v>
      </c>
      <c r="H113" s="9" t="n">
        <v>0</v>
      </c>
    </row>
    <row r="114" customFormat="false" ht="15" hidden="false" customHeight="false" outlineLevel="0" collapsed="false">
      <c r="A114" s="9" t="n">
        <v>113</v>
      </c>
      <c r="B114" s="9" t="s">
        <v>728</v>
      </c>
      <c r="C114" s="9" t="n">
        <v>0</v>
      </c>
      <c r="D114" s="9"/>
      <c r="E114" s="9"/>
      <c r="F114" s="9" t="s">
        <v>196</v>
      </c>
      <c r="G114" s="9" t="n">
        <v>10</v>
      </c>
      <c r="H114" s="9" t="n">
        <v>0</v>
      </c>
    </row>
    <row r="115" customFormat="false" ht="15" hidden="false" customHeight="false" outlineLevel="0" collapsed="false">
      <c r="A115" s="9" t="n">
        <v>114</v>
      </c>
      <c r="B115" s="9" t="s">
        <v>729</v>
      </c>
      <c r="C115" s="9" t="n">
        <v>0</v>
      </c>
      <c r="D115" s="9"/>
      <c r="E115" s="9"/>
      <c r="F115" s="9" t="s">
        <v>196</v>
      </c>
      <c r="G115" s="9" t="n">
        <v>21</v>
      </c>
      <c r="H115" s="9" t="n">
        <v>0</v>
      </c>
    </row>
    <row r="116" customFormat="false" ht="15" hidden="false" customHeight="false" outlineLevel="0" collapsed="false">
      <c r="A116" s="9" t="n">
        <v>115</v>
      </c>
      <c r="B116" s="9" t="s">
        <v>730</v>
      </c>
      <c r="C116" s="9" t="n">
        <v>0</v>
      </c>
      <c r="D116" s="9"/>
      <c r="E116" s="9"/>
      <c r="F116" s="9" t="s">
        <v>196</v>
      </c>
      <c r="G116" s="9" t="n">
        <v>161</v>
      </c>
      <c r="H116" s="9" t="n">
        <v>100</v>
      </c>
    </row>
    <row r="117" customFormat="false" ht="15" hidden="false" customHeight="false" outlineLevel="0" collapsed="false">
      <c r="A117" s="9" t="n">
        <v>116</v>
      </c>
      <c r="B117" s="9" t="s">
        <v>731</v>
      </c>
      <c r="C117" s="9" t="n">
        <v>0</v>
      </c>
      <c r="D117" s="9"/>
      <c r="E117" s="9"/>
      <c r="F117" s="9" t="s">
        <v>196</v>
      </c>
      <c r="G117" s="9" t="n">
        <v>19</v>
      </c>
      <c r="H117" s="9" t="n">
        <v>0</v>
      </c>
    </row>
    <row r="118" customFormat="false" ht="15" hidden="false" customHeight="false" outlineLevel="0" collapsed="false">
      <c r="A118" s="9" t="n">
        <v>117</v>
      </c>
      <c r="B118" s="9" t="s">
        <v>732</v>
      </c>
      <c r="C118" s="9" t="n">
        <v>0</v>
      </c>
      <c r="D118" s="9"/>
      <c r="E118" s="9"/>
      <c r="F118" s="9" t="s">
        <v>196</v>
      </c>
      <c r="G118" s="9" t="n">
        <v>2</v>
      </c>
      <c r="H118" s="9" t="n">
        <v>50</v>
      </c>
    </row>
  </sheetData>
  <conditionalFormatting sqref="F2:F118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733</v>
      </c>
      <c r="C2" s="7" t="n">
        <v>22155.4</v>
      </c>
      <c r="D2" s="8" t="n">
        <f aca="false">C2/SUM($C$2:$C$57)</f>
        <v>0.491717195032093</v>
      </c>
      <c r="E2" s="8" t="n">
        <f aca="false">D2</f>
        <v>0.491717195032093</v>
      </c>
      <c r="F2" s="7" t="str">
        <f aca="false">IF(E2&lt;=0.7,"A",IF(E2&lt;=0.9,"B","C"))</f>
        <v>A</v>
      </c>
      <c r="G2" s="7" t="n">
        <v>68128</v>
      </c>
      <c r="H2" s="7" t="n">
        <v>30000</v>
      </c>
    </row>
    <row r="3" customFormat="false" ht="15" hidden="false" customHeight="false" outlineLevel="0" collapsed="false">
      <c r="A3" s="7" t="n">
        <v>2</v>
      </c>
      <c r="B3" s="7" t="s">
        <v>734</v>
      </c>
      <c r="C3" s="7" t="n">
        <v>3942.4</v>
      </c>
      <c r="D3" s="8" t="n">
        <f aca="false">C3/SUM($C$2:$C$57)</f>
        <v>0.0874976696288274</v>
      </c>
      <c r="E3" s="8" t="n">
        <f aca="false">E2+D3</f>
        <v>0.57921486466092</v>
      </c>
      <c r="F3" s="7" t="str">
        <f aca="false">IF(E3&lt;=0.7,"A",IF(E3&lt;=0.9,"B","C"))</f>
        <v>A</v>
      </c>
      <c r="G3" s="7" t="n">
        <v>29992</v>
      </c>
      <c r="H3" s="7" t="n">
        <v>10000</v>
      </c>
    </row>
    <row r="4" customFormat="false" ht="15" hidden="false" customHeight="false" outlineLevel="0" collapsed="false">
      <c r="A4" s="7" t="n">
        <v>3</v>
      </c>
      <c r="B4" s="7" t="s">
        <v>735</v>
      </c>
      <c r="C4" s="7" t="n">
        <v>2553.2</v>
      </c>
      <c r="D4" s="8" t="n">
        <f aca="false">C4/SUM($C$2:$C$57)</f>
        <v>0.056665749314205</v>
      </c>
      <c r="E4" s="8" t="n">
        <f aca="false">E3+D4</f>
        <v>0.635880613975125</v>
      </c>
      <c r="F4" s="7" t="str">
        <f aca="false">IF(E4&lt;=0.7,"A",IF(E4&lt;=0.9,"B","C"))</f>
        <v>A</v>
      </c>
      <c r="G4" s="7" t="n">
        <v>34646</v>
      </c>
      <c r="H4" s="7" t="n">
        <v>5000</v>
      </c>
    </row>
    <row r="5" customFormat="false" ht="15" hidden="false" customHeight="false" outlineLevel="0" collapsed="false">
      <c r="A5" s="7" t="n">
        <v>4</v>
      </c>
      <c r="B5" s="7" t="s">
        <v>736</v>
      </c>
      <c r="C5" s="7" t="n">
        <v>1807.8</v>
      </c>
      <c r="D5" s="8" t="n">
        <f aca="false">C5/SUM($C$2:$C$57)</f>
        <v>0.0401223333895582</v>
      </c>
      <c r="E5" s="8" t="n">
        <f aca="false">E4+D5</f>
        <v>0.676002947364683</v>
      </c>
      <c r="F5" s="7" t="str">
        <f aca="false">IF(E5&lt;=0.7,"A",IF(E5&lt;=0.9,"B","C"))</f>
        <v>A</v>
      </c>
      <c r="G5" s="7" t="n">
        <v>11250</v>
      </c>
      <c r="H5" s="7" t="n">
        <v>6000</v>
      </c>
    </row>
    <row r="6" customFormat="false" ht="15" hidden="false" customHeight="false" outlineLevel="0" collapsed="false">
      <c r="A6" s="7" t="n">
        <v>5</v>
      </c>
      <c r="B6" s="7" t="s">
        <v>737</v>
      </c>
      <c r="C6" s="7" t="n">
        <v>1591.1</v>
      </c>
      <c r="D6" s="8" t="n">
        <f aca="false">C6/SUM($C$2:$C$57)</f>
        <v>0.0353128911694468</v>
      </c>
      <c r="E6" s="8" t="n">
        <f aca="false">E5+D6</f>
        <v>0.71131583853413</v>
      </c>
      <c r="F6" s="7" t="str">
        <f aca="false">IF(E6&lt;=0.7,"A",IF(E6&lt;=0.9,"B","C"))</f>
        <v>B</v>
      </c>
      <c r="G6" s="7" t="n">
        <v>3221</v>
      </c>
      <c r="H6" s="7" t="n">
        <v>10000</v>
      </c>
    </row>
    <row r="7" customFormat="false" ht="15" hidden="false" customHeight="false" outlineLevel="0" collapsed="false">
      <c r="A7" s="7" t="n">
        <v>6</v>
      </c>
      <c r="B7" s="7" t="s">
        <v>738</v>
      </c>
      <c r="C7" s="7" t="n">
        <v>1223.2</v>
      </c>
      <c r="D7" s="8" t="n">
        <f aca="false">C7/SUM($C$2:$C$57)</f>
        <v>0.0271477144607299</v>
      </c>
      <c r="E7" s="8" t="n">
        <f aca="false">E6+D7</f>
        <v>0.73846355299486</v>
      </c>
      <c r="F7" s="7" t="str">
        <f aca="false">IF(E7&lt;=0.7,"A",IF(E7&lt;=0.9,"B","C"))</f>
        <v>B</v>
      </c>
      <c r="G7" s="7" t="n">
        <v>20817</v>
      </c>
      <c r="H7" s="7" t="n">
        <v>5000</v>
      </c>
    </row>
    <row r="8" customFormat="false" ht="15" hidden="false" customHeight="false" outlineLevel="0" collapsed="false">
      <c r="A8" s="7" t="n">
        <v>7</v>
      </c>
      <c r="B8" s="7" t="s">
        <v>739</v>
      </c>
      <c r="C8" s="7" t="n">
        <v>1011.1</v>
      </c>
      <c r="D8" s="8" t="n">
        <f aca="false">C8/SUM($C$2:$C$57)</f>
        <v>0.0224403646919915</v>
      </c>
      <c r="E8" s="8" t="n">
        <f aca="false">E7+D8</f>
        <v>0.760903917686851</v>
      </c>
      <c r="F8" s="7" t="str">
        <f aca="false">IF(E8&lt;=0.7,"A",IF(E8&lt;=0.9,"B","C"))</f>
        <v>B</v>
      </c>
      <c r="G8" s="7" t="n">
        <v>13472</v>
      </c>
      <c r="H8" s="7" t="n">
        <v>5000</v>
      </c>
    </row>
    <row r="9" customFormat="false" ht="15" hidden="false" customHeight="false" outlineLevel="0" collapsed="false">
      <c r="A9" s="7" t="n">
        <v>8</v>
      </c>
      <c r="B9" s="7" t="s">
        <v>740</v>
      </c>
      <c r="C9" s="7" t="n">
        <v>967.3</v>
      </c>
      <c r="D9" s="8" t="n">
        <f aca="false">C9/SUM($C$2:$C$57)</f>
        <v>0.021468267002832</v>
      </c>
      <c r="E9" s="8" t="n">
        <f aca="false">E8+D9</f>
        <v>0.782372184689683</v>
      </c>
      <c r="F9" s="7" t="str">
        <f aca="false">IF(E9&lt;=0.7,"A",IF(E9&lt;=0.9,"B","C"))</f>
        <v>B</v>
      </c>
      <c r="G9" s="7" t="n">
        <v>10917</v>
      </c>
      <c r="H9" s="7" t="n">
        <v>5000</v>
      </c>
    </row>
    <row r="10" customFormat="false" ht="15" hidden="false" customHeight="false" outlineLevel="0" collapsed="false">
      <c r="A10" s="7" t="n">
        <v>9</v>
      </c>
      <c r="B10" s="7" t="s">
        <v>741</v>
      </c>
      <c r="C10" s="7" t="n">
        <v>957.6</v>
      </c>
      <c r="D10" s="8" t="n">
        <f aca="false">C10/SUM($C$2:$C$57)</f>
        <v>0.0212529850945021</v>
      </c>
      <c r="E10" s="8" t="n">
        <f aca="false">E9+D10</f>
        <v>0.803625169784186</v>
      </c>
      <c r="F10" s="7" t="str">
        <f aca="false">IF(E10&lt;=0.7,"A",IF(E10&lt;=0.9,"B","C"))</f>
        <v>B</v>
      </c>
      <c r="G10" s="7" t="n">
        <v>8982</v>
      </c>
      <c r="H10" s="7" t="n">
        <v>5000</v>
      </c>
    </row>
    <row r="11" customFormat="false" ht="15" hidden="false" customHeight="false" outlineLevel="0" collapsed="false">
      <c r="A11" s="7" t="n">
        <v>10</v>
      </c>
      <c r="B11" s="7" t="s">
        <v>742</v>
      </c>
      <c r="C11" s="7" t="n">
        <v>866.2</v>
      </c>
      <c r="D11" s="8" t="n">
        <f aca="false">C11/SUM($C$2:$C$57)</f>
        <v>0.0192244524737445</v>
      </c>
      <c r="E11" s="8" t="n">
        <f aca="false">E10+D11</f>
        <v>0.82284962225793</v>
      </c>
      <c r="F11" s="7" t="str">
        <f aca="false">IF(E11&lt;=0.7,"A",IF(E11&lt;=0.9,"B","C"))</f>
        <v>B</v>
      </c>
      <c r="G11" s="7" t="n">
        <v>19022</v>
      </c>
      <c r="H11" s="7" t="n">
        <v>6000</v>
      </c>
    </row>
    <row r="12" customFormat="false" ht="15" hidden="false" customHeight="false" outlineLevel="0" collapsed="false">
      <c r="A12" s="7" t="n">
        <v>11</v>
      </c>
      <c r="B12" s="7" t="s">
        <v>743</v>
      </c>
      <c r="C12" s="7" t="n">
        <v>783.5</v>
      </c>
      <c r="D12" s="8" t="n">
        <f aca="false">C12/SUM($C$2:$C$57)</f>
        <v>0.0173890077501487</v>
      </c>
      <c r="E12" s="8" t="n">
        <f aca="false">E11+D12</f>
        <v>0.840238630008079</v>
      </c>
      <c r="F12" s="7" t="str">
        <f aca="false">IF(E12&lt;=0.7,"A",IF(E12&lt;=0.9,"B","C"))</f>
        <v>B</v>
      </c>
      <c r="G12" s="7" t="n">
        <v>16767</v>
      </c>
      <c r="H12" s="7" t="n">
        <v>5000</v>
      </c>
    </row>
    <row r="13" customFormat="false" ht="15" hidden="false" customHeight="false" outlineLevel="0" collapsed="false">
      <c r="A13" s="7" t="n">
        <v>12</v>
      </c>
      <c r="B13" s="7" t="s">
        <v>744</v>
      </c>
      <c r="C13" s="7" t="n">
        <v>749.2</v>
      </c>
      <c r="D13" s="8" t="n">
        <f aca="false">C13/SUM($C$2:$C$57)</f>
        <v>0.0166277531670854</v>
      </c>
      <c r="E13" s="8" t="n">
        <f aca="false">E12+D13</f>
        <v>0.856866383175164</v>
      </c>
      <c r="F13" s="7" t="str">
        <f aca="false">IF(E13&lt;=0.7,"A",IF(E13&lt;=0.9,"B","C"))</f>
        <v>B</v>
      </c>
      <c r="G13" s="7" t="n">
        <v>11639</v>
      </c>
      <c r="H13" s="7" t="n">
        <v>7000</v>
      </c>
    </row>
    <row r="14" customFormat="false" ht="15" hidden="false" customHeight="false" outlineLevel="0" collapsed="false">
      <c r="A14" s="7" t="n">
        <v>13</v>
      </c>
      <c r="B14" s="7" t="s">
        <v>745</v>
      </c>
      <c r="C14" s="7" t="n">
        <v>673.5</v>
      </c>
      <c r="D14" s="8" t="n">
        <f aca="false">C14/SUM($C$2:$C$57)</f>
        <v>0.0149476665216658</v>
      </c>
      <c r="E14" s="8" t="n">
        <f aca="false">E13+D14</f>
        <v>0.87181404969683</v>
      </c>
      <c r="F14" s="7" t="str">
        <f aca="false">IF(E14&lt;=0.7,"A",IF(E14&lt;=0.9,"B","C"))</f>
        <v>B</v>
      </c>
      <c r="G14" s="7" t="n">
        <v>11266</v>
      </c>
      <c r="H14" s="7" t="n">
        <v>5000</v>
      </c>
    </row>
    <row r="15" customFormat="false" ht="15" hidden="false" customHeight="false" outlineLevel="0" collapsed="false">
      <c r="A15" s="7" t="n">
        <v>14</v>
      </c>
      <c r="B15" s="7" t="s">
        <v>746</v>
      </c>
      <c r="C15" s="7" t="n">
        <v>583.2</v>
      </c>
      <c r="D15" s="8" t="n">
        <f aca="false">C15/SUM($C$2:$C$57)</f>
        <v>0.012943547313193</v>
      </c>
      <c r="E15" s="8" t="n">
        <f aca="false">E14+D15</f>
        <v>0.884757597010023</v>
      </c>
      <c r="F15" s="7" t="str">
        <f aca="false">IF(E15&lt;=0.7,"A",IF(E15&lt;=0.9,"B","C"))</f>
        <v>B</v>
      </c>
      <c r="G15" s="7" t="n">
        <v>19027</v>
      </c>
      <c r="H15" s="7" t="n">
        <v>6000</v>
      </c>
    </row>
    <row r="16" customFormat="false" ht="15" hidden="false" customHeight="false" outlineLevel="0" collapsed="false">
      <c r="A16" s="7" t="n">
        <v>15</v>
      </c>
      <c r="B16" s="7" t="s">
        <v>747</v>
      </c>
      <c r="C16" s="7" t="n">
        <v>563.2</v>
      </c>
      <c r="D16" s="8" t="n">
        <f aca="false">C16/SUM($C$2:$C$57)</f>
        <v>0.0124996670898325</v>
      </c>
      <c r="E16" s="8" t="n">
        <f aca="false">E15+D16</f>
        <v>0.897257264099856</v>
      </c>
      <c r="F16" s="7" t="str">
        <f aca="false">IF(E16&lt;=0.7,"A",IF(E16&lt;=0.9,"B","C"))</f>
        <v>B</v>
      </c>
      <c r="G16" s="7" t="n">
        <v>4393</v>
      </c>
      <c r="H16" s="7" t="n">
        <v>1800</v>
      </c>
    </row>
    <row r="17" customFormat="false" ht="15" hidden="false" customHeight="false" outlineLevel="0" collapsed="false">
      <c r="A17" s="7" t="n">
        <v>16</v>
      </c>
      <c r="B17" s="7" t="s">
        <v>748</v>
      </c>
      <c r="C17" s="7" t="n">
        <v>515.1</v>
      </c>
      <c r="D17" s="8" t="n">
        <f aca="false">C17/SUM($C$2:$C$57)</f>
        <v>0.0114321351526504</v>
      </c>
      <c r="E17" s="8" t="n">
        <f aca="false">E16+D17</f>
        <v>0.908689399252506</v>
      </c>
      <c r="F17" s="7" t="str">
        <f aca="false">IF(E17&lt;=0.7,"A",IF(E17&lt;=0.9,"B","C"))</f>
        <v>C</v>
      </c>
      <c r="G17" s="7" t="n">
        <v>15330</v>
      </c>
      <c r="H17" s="7" t="n">
        <v>5000</v>
      </c>
    </row>
    <row r="18" customFormat="false" ht="15" hidden="false" customHeight="false" outlineLevel="0" collapsed="false">
      <c r="A18" s="7" t="n">
        <v>17</v>
      </c>
      <c r="B18" s="7" t="s">
        <v>749</v>
      </c>
      <c r="C18" s="7" t="n">
        <v>449.5</v>
      </c>
      <c r="D18" s="8" t="n">
        <f aca="false">C18/SUM($C$2:$C$57)</f>
        <v>0.00997620802002788</v>
      </c>
      <c r="E18" s="8" t="n">
        <f aca="false">E17+D18</f>
        <v>0.918665607272534</v>
      </c>
      <c r="F18" s="7" t="str">
        <f aca="false">IF(E18&lt;=0.7,"A",IF(E18&lt;=0.9,"B","C"))</f>
        <v>C</v>
      </c>
      <c r="G18" s="7" t="n">
        <v>16591</v>
      </c>
      <c r="H18" s="7" t="n">
        <v>3000</v>
      </c>
    </row>
    <row r="19" customFormat="false" ht="15" hidden="false" customHeight="false" outlineLevel="0" collapsed="false">
      <c r="A19" s="7" t="n">
        <v>18</v>
      </c>
      <c r="B19" s="7" t="s">
        <v>750</v>
      </c>
      <c r="C19" s="7" t="n">
        <v>369.7</v>
      </c>
      <c r="D19" s="8" t="n">
        <f aca="false">C19/SUM($C$2:$C$57)</f>
        <v>0.00820512592881937</v>
      </c>
      <c r="E19" s="8" t="n">
        <f aca="false">E18+D19</f>
        <v>0.926870733201353</v>
      </c>
      <c r="F19" s="7" t="str">
        <f aca="false">IF(E19&lt;=0.7,"A",IF(E19&lt;=0.9,"B","C"))</f>
        <v>C</v>
      </c>
      <c r="G19" s="7" t="n">
        <v>2907</v>
      </c>
      <c r="H19" s="7" t="n">
        <v>250</v>
      </c>
    </row>
    <row r="20" customFormat="false" ht="15" hidden="false" customHeight="false" outlineLevel="0" collapsed="false">
      <c r="A20" s="7" t="n">
        <v>19</v>
      </c>
      <c r="B20" s="7" t="s">
        <v>751</v>
      </c>
      <c r="C20" s="7" t="n">
        <v>339.7</v>
      </c>
      <c r="D20" s="8" t="n">
        <f aca="false">C20/SUM($C$2:$C$57)</f>
        <v>0.00753930559377857</v>
      </c>
      <c r="E20" s="8" t="n">
        <f aca="false">E19+D20</f>
        <v>0.934410038795132</v>
      </c>
      <c r="F20" s="7" t="str">
        <f aca="false">IF(E20&lt;=0.7,"A",IF(E20&lt;=0.9,"B","C"))</f>
        <v>C</v>
      </c>
      <c r="G20" s="7" t="n">
        <v>7801</v>
      </c>
      <c r="H20" s="7" t="n">
        <v>3000</v>
      </c>
    </row>
    <row r="21" customFormat="false" ht="15" hidden="false" customHeight="false" outlineLevel="0" collapsed="false">
      <c r="A21" s="7" t="n">
        <v>20</v>
      </c>
      <c r="B21" s="7" t="s">
        <v>752</v>
      </c>
      <c r="C21" s="7" t="n">
        <v>278.9</v>
      </c>
      <c r="D21" s="8" t="n">
        <f aca="false">C21/SUM($C$2:$C$57)</f>
        <v>0.00618990971476257</v>
      </c>
      <c r="E21" s="8" t="n">
        <f aca="false">E20+D21</f>
        <v>0.940599948509894</v>
      </c>
      <c r="F21" s="7" t="str">
        <f aca="false">IF(E21&lt;=0.7,"A",IF(E21&lt;=0.9,"B","C"))</f>
        <v>C</v>
      </c>
      <c r="G21" s="7" t="n">
        <v>7696</v>
      </c>
      <c r="H21" s="7" t="n">
        <v>50</v>
      </c>
    </row>
    <row r="22" customFormat="false" ht="15" hidden="false" customHeight="false" outlineLevel="0" collapsed="false">
      <c r="A22" s="7" t="n">
        <v>21</v>
      </c>
      <c r="B22" s="7" t="s">
        <v>753</v>
      </c>
      <c r="C22" s="7" t="n">
        <v>224.6</v>
      </c>
      <c r="D22" s="8" t="n">
        <f aca="false">C22/SUM($C$2:$C$57)</f>
        <v>0.00498477490833873</v>
      </c>
      <c r="E22" s="8" t="n">
        <f aca="false">E21+D22</f>
        <v>0.945584723418233</v>
      </c>
      <c r="F22" s="7" t="str">
        <f aca="false">IF(E22&lt;=0.7,"A",IF(E22&lt;=0.9,"B","C"))</f>
        <v>C</v>
      </c>
      <c r="G22" s="7" t="n">
        <v>18492</v>
      </c>
      <c r="H22" s="7" t="n">
        <v>5000</v>
      </c>
    </row>
    <row r="23" customFormat="false" ht="15" hidden="false" customHeight="false" outlineLevel="0" collapsed="false">
      <c r="A23" s="7" t="n">
        <v>22</v>
      </c>
      <c r="B23" s="7" t="s">
        <v>754</v>
      </c>
      <c r="C23" s="7" t="n">
        <v>220.8</v>
      </c>
      <c r="D23" s="8" t="n">
        <f aca="false">C23/SUM($C$2:$C$57)</f>
        <v>0.00490043766590023</v>
      </c>
      <c r="E23" s="8" t="n">
        <f aca="false">E22+D23</f>
        <v>0.950485161084133</v>
      </c>
      <c r="F23" s="7" t="str">
        <f aca="false">IF(E23&lt;=0.7,"A",IF(E23&lt;=0.9,"B","C"))</f>
        <v>C</v>
      </c>
      <c r="G23" s="7" t="n">
        <v>2544</v>
      </c>
      <c r="H23" s="7" t="n">
        <v>300</v>
      </c>
    </row>
    <row r="24" customFormat="false" ht="15" hidden="false" customHeight="false" outlineLevel="0" collapsed="false">
      <c r="A24" s="7" t="n">
        <v>23</v>
      </c>
      <c r="B24" s="7" t="s">
        <v>755</v>
      </c>
      <c r="C24" s="7" t="n">
        <v>175.1</v>
      </c>
      <c r="D24" s="8" t="n">
        <f aca="false">C24/SUM($C$2:$C$57)</f>
        <v>0.00388617135552143</v>
      </c>
      <c r="E24" s="8" t="n">
        <f aca="false">E23+D24</f>
        <v>0.954371332439655</v>
      </c>
      <c r="F24" s="7" t="str">
        <f aca="false">IF(E24&lt;=0.7,"A",IF(E24&lt;=0.9,"B","C"))</f>
        <v>C</v>
      </c>
      <c r="G24" s="7" t="n">
        <v>3610</v>
      </c>
      <c r="H24" s="7" t="n">
        <v>250</v>
      </c>
    </row>
    <row r="25" customFormat="false" ht="15" hidden="false" customHeight="false" outlineLevel="0" collapsed="false">
      <c r="A25" s="7" t="n">
        <v>24</v>
      </c>
      <c r="B25" s="7" t="s">
        <v>756</v>
      </c>
      <c r="C25" s="7" t="n">
        <v>172.4</v>
      </c>
      <c r="D25" s="8" t="n">
        <f aca="false">C25/SUM($C$2:$C$57)</f>
        <v>0.00382624752536775</v>
      </c>
      <c r="E25" s="8" t="n">
        <f aca="false">E24+D25</f>
        <v>0.958197579965022</v>
      </c>
      <c r="F25" s="7" t="str">
        <f aca="false">IF(E25&lt;=0.7,"A",IF(E25&lt;=0.9,"B","C"))</f>
        <v>C</v>
      </c>
      <c r="G25" s="7" t="n">
        <v>11957</v>
      </c>
      <c r="H25" s="7" t="n">
        <v>5000</v>
      </c>
    </row>
    <row r="26" customFormat="false" ht="15" hidden="false" customHeight="false" outlineLevel="0" collapsed="false">
      <c r="A26" s="7" t="n">
        <v>25</v>
      </c>
      <c r="B26" s="7" t="s">
        <v>757</v>
      </c>
      <c r="C26" s="7" t="n">
        <v>168.6</v>
      </c>
      <c r="D26" s="8" t="n">
        <f aca="false">C26/SUM($C$2:$C$57)</f>
        <v>0.00374191028292925</v>
      </c>
      <c r="E26" s="8" t="n">
        <f aca="false">E25+D26</f>
        <v>0.961939490247952</v>
      </c>
      <c r="F26" s="7" t="str">
        <f aca="false">IF(E26&lt;=0.7,"A",IF(E26&lt;=0.9,"B","C"))</f>
        <v>C</v>
      </c>
      <c r="G26" s="7" t="n">
        <v>4689</v>
      </c>
      <c r="H26" s="7" t="n">
        <v>50</v>
      </c>
    </row>
    <row r="27" customFormat="false" ht="15" hidden="false" customHeight="false" outlineLevel="0" collapsed="false">
      <c r="A27" s="7" t="n">
        <v>26</v>
      </c>
      <c r="B27" s="7" t="s">
        <v>758</v>
      </c>
      <c r="C27" s="7" t="n">
        <v>159.2</v>
      </c>
      <c r="D27" s="8" t="n">
        <f aca="false">C27/SUM($C$2:$C$57)</f>
        <v>0.00353328657794981</v>
      </c>
      <c r="E27" s="8" t="n">
        <f aca="false">E26+D27</f>
        <v>0.965472776825901</v>
      </c>
      <c r="F27" s="7" t="str">
        <f aca="false">IF(E27&lt;=0.7,"A",IF(E27&lt;=0.9,"B","C"))</f>
        <v>C</v>
      </c>
      <c r="G27" s="7" t="n">
        <v>6665</v>
      </c>
      <c r="H27" s="7" t="n">
        <v>250</v>
      </c>
    </row>
    <row r="28" customFormat="false" ht="15" hidden="false" customHeight="false" outlineLevel="0" collapsed="false">
      <c r="A28" s="7" t="n">
        <v>27</v>
      </c>
      <c r="B28" s="7" t="s">
        <v>759</v>
      </c>
      <c r="C28" s="7" t="n">
        <v>156.5</v>
      </c>
      <c r="D28" s="8" t="n">
        <f aca="false">C28/SUM($C$2:$C$57)</f>
        <v>0.00347336274779613</v>
      </c>
      <c r="E28" s="8" t="n">
        <f aca="false">E27+D28</f>
        <v>0.968946139573698</v>
      </c>
      <c r="F28" s="7" t="str">
        <f aca="false">IF(E28&lt;=0.7,"A",IF(E28&lt;=0.9,"B","C"))</f>
        <v>C</v>
      </c>
      <c r="G28" s="7" t="n">
        <v>2843</v>
      </c>
      <c r="H28" s="7" t="n">
        <v>50</v>
      </c>
    </row>
    <row r="29" customFormat="false" ht="15" hidden="false" customHeight="false" outlineLevel="0" collapsed="false">
      <c r="A29" s="7" t="n">
        <v>28</v>
      </c>
      <c r="B29" s="7" t="s">
        <v>760</v>
      </c>
      <c r="C29" s="7" t="n">
        <v>148.9</v>
      </c>
      <c r="D29" s="8" t="n">
        <f aca="false">C29/SUM($C$2:$C$57)</f>
        <v>0.00330468826291913</v>
      </c>
      <c r="E29" s="8" t="n">
        <f aca="false">E28+D29</f>
        <v>0.972250827836617</v>
      </c>
      <c r="F29" s="7" t="str">
        <f aca="false">IF(E29&lt;=0.7,"A",IF(E29&lt;=0.9,"B","C"))</f>
        <v>C</v>
      </c>
      <c r="G29" s="7" t="n">
        <v>5794</v>
      </c>
      <c r="H29" s="7" t="n">
        <v>250</v>
      </c>
    </row>
    <row r="30" customFormat="false" ht="15" hidden="false" customHeight="false" outlineLevel="0" collapsed="false">
      <c r="A30" s="7" t="n">
        <v>29</v>
      </c>
      <c r="B30" s="7" t="s">
        <v>761</v>
      </c>
      <c r="C30" s="7" t="n">
        <v>147.6</v>
      </c>
      <c r="D30" s="8" t="n">
        <f aca="false">C30/SUM($C$2:$C$57)</f>
        <v>0.0032758360484007</v>
      </c>
      <c r="E30" s="8" t="n">
        <f aca="false">E29+D30</f>
        <v>0.975526663885017</v>
      </c>
      <c r="F30" s="7" t="str">
        <f aca="false">IF(E30&lt;=0.7,"A",IF(E30&lt;=0.9,"B","C"))</f>
        <v>C</v>
      </c>
      <c r="G30" s="7" t="n">
        <v>767</v>
      </c>
      <c r="H30" s="7" t="n">
        <v>2000</v>
      </c>
    </row>
    <row r="31" customFormat="false" ht="15" hidden="false" customHeight="false" outlineLevel="0" collapsed="false">
      <c r="A31" s="7" t="n">
        <v>30</v>
      </c>
      <c r="B31" s="7" t="s">
        <v>762</v>
      </c>
      <c r="C31" s="7" t="n">
        <v>124.9</v>
      </c>
      <c r="D31" s="8" t="n">
        <f aca="false">C31/SUM($C$2:$C$57)</f>
        <v>0.0027720319948865</v>
      </c>
      <c r="E31" s="8" t="n">
        <f aca="false">E30+D31</f>
        <v>0.978298695879904</v>
      </c>
      <c r="F31" s="7" t="str">
        <f aca="false">IF(E31&lt;=0.7,"A",IF(E31&lt;=0.9,"B","C"))</f>
        <v>C</v>
      </c>
      <c r="G31" s="7" t="n">
        <v>9815</v>
      </c>
      <c r="H31" s="7" t="n">
        <v>3000</v>
      </c>
    </row>
    <row r="32" customFormat="false" ht="15" hidden="false" customHeight="false" outlineLevel="0" collapsed="false">
      <c r="A32" s="7" t="n">
        <v>31</v>
      </c>
      <c r="B32" s="7" t="s">
        <v>763</v>
      </c>
      <c r="C32" s="7" t="n">
        <v>124.1</v>
      </c>
      <c r="D32" s="8" t="n">
        <f aca="false">C32/SUM($C$2:$C$57)</f>
        <v>0.00275427678595208</v>
      </c>
      <c r="E32" s="8" t="n">
        <f aca="false">E31+D32</f>
        <v>0.981052972665856</v>
      </c>
      <c r="F32" s="7" t="str">
        <f aca="false">IF(E32&lt;=0.7,"A",IF(E32&lt;=0.9,"B","C"))</f>
        <v>C</v>
      </c>
      <c r="G32" s="7" t="n">
        <v>5410</v>
      </c>
      <c r="H32" s="7" t="n">
        <v>100</v>
      </c>
    </row>
    <row r="33" customFormat="false" ht="15" hidden="false" customHeight="false" outlineLevel="0" collapsed="false">
      <c r="A33" s="7" t="n">
        <v>32</v>
      </c>
      <c r="B33" s="7" t="s">
        <v>764</v>
      </c>
      <c r="C33" s="7" t="n">
        <v>120</v>
      </c>
      <c r="D33" s="8" t="n">
        <f aca="false">C33/SUM($C$2:$C$57)</f>
        <v>0.00266328134016317</v>
      </c>
      <c r="E33" s="8" t="n">
        <f aca="false">E32+D33</f>
        <v>0.983716254006019</v>
      </c>
      <c r="F33" s="7" t="str">
        <f aca="false">IF(E33&lt;=0.7,"A",IF(E33&lt;=0.9,"B","C"))</f>
        <v>C</v>
      </c>
      <c r="G33" s="7" t="n">
        <v>5925</v>
      </c>
      <c r="H33" s="7" t="n">
        <v>2000</v>
      </c>
    </row>
    <row r="34" customFormat="false" ht="15" hidden="false" customHeight="false" outlineLevel="0" collapsed="false">
      <c r="A34" s="7" t="n">
        <v>33</v>
      </c>
      <c r="B34" s="7" t="s">
        <v>765</v>
      </c>
      <c r="C34" s="7" t="n">
        <v>116.2</v>
      </c>
      <c r="D34" s="8" t="n">
        <f aca="false">C34/SUM($C$2:$C$57)</f>
        <v>0.00257894409772467</v>
      </c>
      <c r="E34" s="8" t="n">
        <f aca="false">E33+D34</f>
        <v>0.986295198103744</v>
      </c>
      <c r="F34" s="7" t="str">
        <f aca="false">IF(E34&lt;=0.7,"A",IF(E34&lt;=0.9,"B","C"))</f>
        <v>C</v>
      </c>
      <c r="G34" s="7" t="n">
        <v>3697</v>
      </c>
      <c r="H34" s="7" t="n">
        <v>350</v>
      </c>
    </row>
    <row r="35" customFormat="false" ht="15" hidden="false" customHeight="false" outlineLevel="0" collapsed="false">
      <c r="A35" s="7" t="n">
        <v>34</v>
      </c>
      <c r="B35" s="7" t="s">
        <v>766</v>
      </c>
      <c r="C35" s="7" t="n">
        <v>61.6</v>
      </c>
      <c r="D35" s="8" t="n">
        <f aca="false">C35/SUM($C$2:$C$57)</f>
        <v>0.00136715108795043</v>
      </c>
      <c r="E35" s="8" t="n">
        <f aca="false">E34+D35</f>
        <v>0.987662349191694</v>
      </c>
      <c r="F35" s="7" t="str">
        <f aca="false">IF(E35&lt;=0.7,"A",IF(E35&lt;=0.9,"B","C"))</f>
        <v>C</v>
      </c>
      <c r="G35" s="7" t="n">
        <v>4744</v>
      </c>
      <c r="H35" s="7" t="n">
        <v>100</v>
      </c>
    </row>
    <row r="36" customFormat="false" ht="15" hidden="false" customHeight="false" outlineLevel="0" collapsed="false">
      <c r="A36" s="7" t="n">
        <v>35</v>
      </c>
      <c r="B36" s="7" t="s">
        <v>767</v>
      </c>
      <c r="C36" s="7" t="n">
        <v>60.3</v>
      </c>
      <c r="D36" s="8" t="n">
        <f aca="false">C36/SUM($C$2:$C$57)</f>
        <v>0.00133829887343199</v>
      </c>
      <c r="E36" s="8" t="n">
        <f aca="false">E35+D36</f>
        <v>0.989000648065126</v>
      </c>
      <c r="F36" s="7" t="str">
        <f aca="false">IF(E36&lt;=0.7,"A",IF(E36&lt;=0.9,"B","C"))</f>
        <v>C</v>
      </c>
      <c r="G36" s="7" t="n">
        <v>4899</v>
      </c>
      <c r="H36" s="7" t="n">
        <v>0</v>
      </c>
    </row>
    <row r="37" customFormat="false" ht="15" hidden="false" customHeight="false" outlineLevel="0" collapsed="false">
      <c r="A37" s="7" t="n">
        <v>36</v>
      </c>
      <c r="B37" s="7" t="s">
        <v>768</v>
      </c>
      <c r="C37" s="7" t="n">
        <v>58.4</v>
      </c>
      <c r="D37" s="8" t="n">
        <f aca="false">C37/SUM($C$2:$C$57)</f>
        <v>0.00129613025221274</v>
      </c>
      <c r="E37" s="8" t="n">
        <f aca="false">E36+D37</f>
        <v>0.990296778317339</v>
      </c>
      <c r="F37" s="7" t="str">
        <f aca="false">IF(E37&lt;=0.7,"A",IF(E37&lt;=0.9,"B","C"))</f>
        <v>C</v>
      </c>
      <c r="G37" s="7" t="n">
        <v>3782</v>
      </c>
      <c r="H37" s="7" t="n">
        <v>0</v>
      </c>
    </row>
    <row r="38" customFormat="false" ht="15" hidden="false" customHeight="false" outlineLevel="0" collapsed="false">
      <c r="A38" s="7" t="n">
        <v>37</v>
      </c>
      <c r="B38" s="7" t="s">
        <v>769</v>
      </c>
      <c r="C38" s="7" t="n">
        <v>56.2</v>
      </c>
      <c r="D38" s="8" t="n">
        <f aca="false">C38/SUM($C$2:$C$57)</f>
        <v>0.00124730342764308</v>
      </c>
      <c r="E38" s="8" t="n">
        <f aca="false">E37+D38</f>
        <v>0.991544081744982</v>
      </c>
      <c r="F38" s="7" t="str">
        <f aca="false">IF(E38&lt;=0.7,"A",IF(E38&lt;=0.9,"B","C"))</f>
        <v>C</v>
      </c>
      <c r="G38" s="7" t="n">
        <v>5690</v>
      </c>
      <c r="H38" s="7" t="n">
        <v>50</v>
      </c>
    </row>
    <row r="39" customFormat="false" ht="15" hidden="false" customHeight="false" outlineLevel="0" collapsed="false">
      <c r="A39" s="7" t="n">
        <v>38</v>
      </c>
      <c r="B39" s="7" t="s">
        <v>770</v>
      </c>
      <c r="C39" s="7" t="n">
        <v>51.9</v>
      </c>
      <c r="D39" s="8" t="n">
        <f aca="false">C39/SUM($C$2:$C$57)</f>
        <v>0.00115186917962057</v>
      </c>
      <c r="E39" s="8" t="n">
        <f aca="false">E38+D39</f>
        <v>0.992695950924603</v>
      </c>
      <c r="F39" s="7" t="str">
        <f aca="false">IF(E39&lt;=0.7,"A",IF(E39&lt;=0.9,"B","C"))</f>
        <v>C</v>
      </c>
      <c r="G39" s="7" t="n">
        <v>4322</v>
      </c>
      <c r="H39" s="7" t="n">
        <v>50</v>
      </c>
    </row>
    <row r="40" customFormat="false" ht="15" hidden="false" customHeight="false" outlineLevel="0" collapsed="false">
      <c r="A40" s="7" t="n">
        <v>39</v>
      </c>
      <c r="B40" s="7" t="s">
        <v>771</v>
      </c>
      <c r="C40" s="7" t="n">
        <v>44.3</v>
      </c>
      <c r="D40" s="8" t="n">
        <f aca="false">C40/SUM($C$2:$C$57)</f>
        <v>0.00098319469474357</v>
      </c>
      <c r="E40" s="8" t="n">
        <f aca="false">E39+D40</f>
        <v>0.993679145619346</v>
      </c>
      <c r="F40" s="7" t="str">
        <f aca="false">IF(E40&lt;=0.7,"A",IF(E40&lt;=0.9,"B","C"))</f>
        <v>C</v>
      </c>
      <c r="G40" s="7" t="n">
        <v>3336</v>
      </c>
      <c r="H40" s="7" t="n">
        <v>50</v>
      </c>
    </row>
    <row r="41" customFormat="false" ht="15" hidden="false" customHeight="false" outlineLevel="0" collapsed="false">
      <c r="A41" s="7" t="n">
        <v>40</v>
      </c>
      <c r="B41" s="7" t="s">
        <v>772</v>
      </c>
      <c r="C41" s="7" t="n">
        <v>43.8</v>
      </c>
      <c r="D41" s="8" t="n">
        <f aca="false">C41/SUM($C$2:$C$57)</f>
        <v>0.000972097689159557</v>
      </c>
      <c r="E41" s="8" t="n">
        <f aca="false">E40+D41</f>
        <v>0.994651243308506</v>
      </c>
      <c r="F41" s="7" t="str">
        <f aca="false">IF(E41&lt;=0.7,"A",IF(E41&lt;=0.9,"B","C"))</f>
        <v>C</v>
      </c>
      <c r="G41" s="7" t="n">
        <v>2842</v>
      </c>
      <c r="H41" s="7" t="n">
        <v>0</v>
      </c>
    </row>
    <row r="42" customFormat="false" ht="15" hidden="false" customHeight="false" outlineLevel="0" collapsed="false">
      <c r="A42" s="7" t="n">
        <v>41</v>
      </c>
      <c r="B42" s="7" t="s">
        <v>773</v>
      </c>
      <c r="C42" s="7" t="n">
        <v>43.8</v>
      </c>
      <c r="D42" s="8" t="n">
        <f aca="false">C42/SUM($C$2:$C$57)</f>
        <v>0.000972097689159557</v>
      </c>
      <c r="E42" s="8" t="n">
        <f aca="false">E41+D42</f>
        <v>0.995623340997665</v>
      </c>
      <c r="F42" s="7" t="str">
        <f aca="false">IF(E42&lt;=0.7,"A",IF(E42&lt;=0.9,"B","C"))</f>
        <v>C</v>
      </c>
      <c r="G42" s="7" t="n">
        <v>2843</v>
      </c>
      <c r="H42" s="7" t="n">
        <v>0</v>
      </c>
    </row>
    <row r="43" customFormat="false" ht="15" hidden="false" customHeight="false" outlineLevel="0" collapsed="false">
      <c r="A43" s="7" t="n">
        <v>42</v>
      </c>
      <c r="B43" s="7" t="s">
        <v>774</v>
      </c>
      <c r="C43" s="7" t="n">
        <v>37.3</v>
      </c>
      <c r="D43" s="8" t="n">
        <f aca="false">C43/SUM($C$2:$C$57)</f>
        <v>0.000827836616567385</v>
      </c>
      <c r="E43" s="8" t="n">
        <f aca="false">E42+D43</f>
        <v>0.996451177614233</v>
      </c>
      <c r="F43" s="7" t="str">
        <f aca="false">IF(E43&lt;=0.7,"A",IF(E43&lt;=0.9,"B","C"))</f>
        <v>C</v>
      </c>
      <c r="G43" s="7" t="n">
        <v>6759</v>
      </c>
      <c r="H43" s="7" t="n">
        <v>50</v>
      </c>
    </row>
    <row r="44" customFormat="false" ht="15" hidden="false" customHeight="false" outlineLevel="0" collapsed="false">
      <c r="A44" s="7" t="n">
        <v>43</v>
      </c>
      <c r="B44" s="7" t="s">
        <v>775</v>
      </c>
      <c r="C44" s="7" t="n">
        <v>30.8</v>
      </c>
      <c r="D44" s="8" t="n">
        <f aca="false">C44/SUM($C$2:$C$57)</f>
        <v>0.000683575543975214</v>
      </c>
      <c r="E44" s="8" t="n">
        <f aca="false">E43+D44</f>
        <v>0.997134753158208</v>
      </c>
      <c r="F44" s="7" t="str">
        <f aca="false">IF(E44&lt;=0.7,"A",IF(E44&lt;=0.9,"B","C"))</f>
        <v>C</v>
      </c>
      <c r="G44" s="7" t="n">
        <v>1661</v>
      </c>
      <c r="H44" s="7" t="n">
        <v>250</v>
      </c>
    </row>
    <row r="45" customFormat="false" ht="15" hidden="false" customHeight="false" outlineLevel="0" collapsed="false">
      <c r="A45" s="7" t="n">
        <v>44</v>
      </c>
      <c r="B45" s="7" t="s">
        <v>776</v>
      </c>
      <c r="C45" s="7" t="n">
        <v>29.7</v>
      </c>
      <c r="D45" s="8" t="n">
        <f aca="false">C45/SUM($C$2:$C$57)</f>
        <v>0.000659162131690385</v>
      </c>
      <c r="E45" s="8" t="n">
        <f aca="false">E44+D45</f>
        <v>0.997793915289898</v>
      </c>
      <c r="F45" s="7" t="str">
        <f aca="false">IF(E45&lt;=0.7,"A",IF(E45&lt;=0.9,"B","C"))</f>
        <v>C</v>
      </c>
      <c r="G45" s="7" t="n">
        <v>2467</v>
      </c>
      <c r="H45" s="7" t="n">
        <v>0</v>
      </c>
    </row>
    <row r="46" customFormat="false" ht="15" hidden="false" customHeight="false" outlineLevel="0" collapsed="false">
      <c r="A46" s="7" t="n">
        <v>45</v>
      </c>
      <c r="B46" s="7" t="s">
        <v>777</v>
      </c>
      <c r="C46" s="7" t="n">
        <v>20</v>
      </c>
      <c r="D46" s="8" t="n">
        <f aca="false">C46/SUM($C$2:$C$57)</f>
        <v>0.000443880223360528</v>
      </c>
      <c r="E46" s="8" t="n">
        <f aca="false">E45+D46</f>
        <v>0.998237795513259</v>
      </c>
      <c r="F46" s="7" t="str">
        <f aca="false">IF(E46&lt;=0.7,"A",IF(E46&lt;=0.9,"B","C"))</f>
        <v>C</v>
      </c>
      <c r="G46" s="7" t="n">
        <v>3078</v>
      </c>
      <c r="H46" s="7" t="n">
        <v>50</v>
      </c>
    </row>
    <row r="47" customFormat="false" ht="15" hidden="false" customHeight="false" outlineLevel="0" collapsed="false">
      <c r="A47" s="7" t="n">
        <v>46</v>
      </c>
      <c r="B47" s="7" t="s">
        <v>778</v>
      </c>
      <c r="C47" s="7" t="n">
        <v>19.5</v>
      </c>
      <c r="D47" s="8" t="n">
        <f aca="false">C47/SUM($C$2:$C$57)</f>
        <v>0.000432783217776515</v>
      </c>
      <c r="E47" s="8" t="n">
        <f aca="false">E46+D47</f>
        <v>0.998670578731035</v>
      </c>
      <c r="F47" s="7" t="str">
        <f aca="false">IF(E47&lt;=0.7,"A",IF(E47&lt;=0.9,"B","C"))</f>
        <v>C</v>
      </c>
      <c r="G47" s="7" t="n">
        <v>4815</v>
      </c>
      <c r="H47" s="7" t="n">
        <v>50</v>
      </c>
    </row>
    <row r="48" customFormat="false" ht="15" hidden="false" customHeight="false" outlineLevel="0" collapsed="false">
      <c r="A48" s="7" t="n">
        <v>47</v>
      </c>
      <c r="B48" s="7" t="s">
        <v>779</v>
      </c>
      <c r="C48" s="7" t="n">
        <v>18.1</v>
      </c>
      <c r="D48" s="8" t="n">
        <f aca="false">C48/SUM($C$2:$C$57)</f>
        <v>0.000401711602141278</v>
      </c>
      <c r="E48" s="8" t="n">
        <f aca="false">E47+D48</f>
        <v>0.999072290333177</v>
      </c>
      <c r="F48" s="7" t="str">
        <f aca="false">IF(E48&lt;=0.7,"A",IF(E48&lt;=0.9,"B","C"))</f>
        <v>C</v>
      </c>
      <c r="G48" s="7" t="n">
        <v>2821</v>
      </c>
      <c r="H48" s="7" t="n">
        <v>50</v>
      </c>
    </row>
    <row r="49" customFormat="false" ht="15" hidden="false" customHeight="false" outlineLevel="0" collapsed="false">
      <c r="A49" s="7" t="n">
        <v>48</v>
      </c>
      <c r="B49" s="7" t="s">
        <v>780</v>
      </c>
      <c r="C49" s="7" t="n">
        <v>11.1</v>
      </c>
      <c r="D49" s="8" t="n">
        <f aca="false">C49/SUM($C$2:$C$57)</f>
        <v>0.000246353523965093</v>
      </c>
      <c r="E49" s="8" t="n">
        <f aca="false">E48+D49</f>
        <v>0.999318643857142</v>
      </c>
      <c r="F49" s="7" t="str">
        <f aca="false">IF(E49&lt;=0.7,"A",IF(E49&lt;=0.9,"B","C"))</f>
        <v>C</v>
      </c>
      <c r="G49" s="7" t="n">
        <v>44</v>
      </c>
      <c r="H49" s="7" t="n">
        <v>50</v>
      </c>
    </row>
    <row r="50" customFormat="false" ht="15" hidden="false" customHeight="false" outlineLevel="0" collapsed="false">
      <c r="A50" s="7" t="n">
        <v>49</v>
      </c>
      <c r="B50" s="7" t="s">
        <v>781</v>
      </c>
      <c r="C50" s="7" t="n">
        <v>10.8</v>
      </c>
      <c r="D50" s="8" t="n">
        <f aca="false">C50/SUM($C$2:$C$57)</f>
        <v>0.000239695320614685</v>
      </c>
      <c r="E50" s="8" t="n">
        <f aca="false">E49+D50</f>
        <v>0.999558339177756</v>
      </c>
      <c r="F50" s="7" t="str">
        <f aca="false">IF(E50&lt;=0.7,"A",IF(E50&lt;=0.9,"B","C"))</f>
        <v>C</v>
      </c>
      <c r="G50" s="7" t="n">
        <v>2911</v>
      </c>
      <c r="H50" s="7" t="n">
        <v>50</v>
      </c>
    </row>
    <row r="51" customFormat="false" ht="15" hidden="false" customHeight="false" outlineLevel="0" collapsed="false">
      <c r="A51" s="7" t="n">
        <v>50</v>
      </c>
      <c r="B51" s="7" t="s">
        <v>782</v>
      </c>
      <c r="C51" s="7" t="n">
        <v>6.2</v>
      </c>
      <c r="D51" s="8" t="n">
        <f aca="false">C51/SUM($C$2:$C$57)</f>
        <v>0.000137602869241764</v>
      </c>
      <c r="E51" s="8" t="n">
        <f aca="false">E50+D51</f>
        <v>0.999695942046998</v>
      </c>
      <c r="F51" s="7" t="str">
        <f aca="false">IF(E51&lt;=0.7,"A",IF(E51&lt;=0.9,"B","C"))</f>
        <v>C</v>
      </c>
      <c r="G51" s="7" t="n">
        <v>5399</v>
      </c>
      <c r="H51" s="7" t="n">
        <v>50</v>
      </c>
    </row>
    <row r="52" customFormat="false" ht="15" hidden="false" customHeight="false" outlineLevel="0" collapsed="false">
      <c r="A52" s="7" t="n">
        <v>51</v>
      </c>
      <c r="B52" s="7" t="s">
        <v>783</v>
      </c>
      <c r="C52" s="7" t="n">
        <v>4.1</v>
      </c>
      <c r="D52" s="8" t="n">
        <f aca="false">C52/SUM($C$2:$C$57)</f>
        <v>9.09954457889083E-005</v>
      </c>
      <c r="E52" s="8" t="n">
        <f aca="false">E51+D52</f>
        <v>0.999786937492787</v>
      </c>
      <c r="F52" s="7" t="str">
        <f aca="false">IF(E52&lt;=0.7,"A",IF(E52&lt;=0.9,"B","C"))</f>
        <v>C</v>
      </c>
      <c r="G52" s="7" t="n">
        <v>3106</v>
      </c>
      <c r="H52" s="7" t="n">
        <v>50</v>
      </c>
    </row>
    <row r="53" customFormat="false" ht="15" hidden="false" customHeight="false" outlineLevel="0" collapsed="false">
      <c r="A53" s="7" t="n">
        <v>52</v>
      </c>
      <c r="B53" s="7" t="s">
        <v>784</v>
      </c>
      <c r="C53" s="7" t="n">
        <v>3.5</v>
      </c>
      <c r="D53" s="8" t="n">
        <f aca="false">C53/SUM($C$2:$C$57)</f>
        <v>7.76790390880925E-005</v>
      </c>
      <c r="E53" s="8" t="n">
        <f aca="false">E52+D53</f>
        <v>0.999864616531875</v>
      </c>
      <c r="F53" s="7" t="str">
        <f aca="false">IF(E53&lt;=0.7,"A",IF(E53&lt;=0.9,"B","C"))</f>
        <v>C</v>
      </c>
      <c r="G53" s="7" t="n">
        <v>7856</v>
      </c>
      <c r="H53" s="7" t="n">
        <v>50</v>
      </c>
    </row>
    <row r="54" customFormat="false" ht="15" hidden="false" customHeight="false" outlineLevel="0" collapsed="false">
      <c r="A54" s="7" t="n">
        <v>53</v>
      </c>
      <c r="B54" s="7" t="s">
        <v>785</v>
      </c>
      <c r="C54" s="7" t="n">
        <v>2.2</v>
      </c>
      <c r="D54" s="8" t="n">
        <f aca="false">C54/SUM($C$2:$C$57)</f>
        <v>4.88268245696581E-005</v>
      </c>
      <c r="E54" s="8" t="n">
        <f aca="false">E53+D54</f>
        <v>0.999913443356445</v>
      </c>
      <c r="F54" s="7" t="str">
        <f aca="false">IF(E54&lt;=0.7,"A",IF(E54&lt;=0.9,"B","C"))</f>
        <v>C</v>
      </c>
      <c r="G54" s="7" t="n">
        <v>7192</v>
      </c>
      <c r="H54" s="7" t="n">
        <v>0</v>
      </c>
    </row>
    <row r="55" customFormat="false" ht="15" hidden="false" customHeight="false" outlineLevel="0" collapsed="false">
      <c r="A55" s="7" t="n">
        <v>54</v>
      </c>
      <c r="B55" s="7" t="s">
        <v>786</v>
      </c>
      <c r="C55" s="7" t="n">
        <v>2.2</v>
      </c>
      <c r="D55" s="8" t="n">
        <f aca="false">C55/SUM($C$2:$C$57)</f>
        <v>4.88268245696581E-005</v>
      </c>
      <c r="E55" s="8" t="n">
        <f aca="false">E54+D55</f>
        <v>0.999962270181014</v>
      </c>
      <c r="F55" s="7" t="str">
        <f aca="false">IF(E55&lt;=0.7,"A",IF(E55&lt;=0.9,"B","C"))</f>
        <v>C</v>
      </c>
      <c r="G55" s="7" t="n">
        <v>3953</v>
      </c>
      <c r="H55" s="7" t="n">
        <v>0</v>
      </c>
    </row>
    <row r="56" customFormat="false" ht="15" hidden="false" customHeight="false" outlineLevel="0" collapsed="false">
      <c r="A56" s="7" t="n">
        <v>55</v>
      </c>
      <c r="B56" s="7" t="s">
        <v>787</v>
      </c>
      <c r="C56" s="7" t="n">
        <v>1.4</v>
      </c>
      <c r="D56" s="8" t="n">
        <f aca="false">C56/SUM($C$2:$C$57)</f>
        <v>3.1071615635237E-005</v>
      </c>
      <c r="E56" s="8" t="n">
        <f aca="false">E55+D56</f>
        <v>0.999993341796649</v>
      </c>
      <c r="F56" s="7" t="str">
        <f aca="false">IF(E56&lt;=0.7,"A",IF(E56&lt;=0.9,"B","C"))</f>
        <v>C</v>
      </c>
      <c r="G56" s="7" t="n">
        <v>2998</v>
      </c>
      <c r="H56" s="7" t="n">
        <v>0</v>
      </c>
    </row>
    <row r="57" customFormat="false" ht="15" hidden="false" customHeight="false" outlineLevel="0" collapsed="false">
      <c r="A57" s="7" t="n">
        <v>56</v>
      </c>
      <c r="B57" s="7" t="s">
        <v>788</v>
      </c>
      <c r="C57" s="7" t="n">
        <v>0.3</v>
      </c>
      <c r="D57" s="8" t="n">
        <f aca="false">C57/SUM($C$2:$C$57)</f>
        <v>6.65820335040793E-006</v>
      </c>
      <c r="E57" s="8" t="n">
        <f aca="false">E56+D57</f>
        <v>1</v>
      </c>
      <c r="F57" s="7" t="str">
        <f aca="false">IF(E57&lt;=0.7,"A",IF(E57&lt;=0.9,"B","C"))</f>
        <v>C</v>
      </c>
      <c r="G57" s="7" t="n">
        <v>2482</v>
      </c>
      <c r="H57" s="7" t="n">
        <v>50</v>
      </c>
    </row>
    <row r="58" customFormat="false" ht="15" hidden="false" customHeight="false" outlineLevel="0" collapsed="false">
      <c r="A58" s="9" t="n">
        <v>57</v>
      </c>
      <c r="B58" s="9" t="s">
        <v>789</v>
      </c>
      <c r="C58" s="9" t="n">
        <v>0</v>
      </c>
      <c r="D58" s="9"/>
      <c r="E58" s="9"/>
      <c r="F58" s="9" t="s">
        <v>196</v>
      </c>
      <c r="G58" s="9" t="n">
        <v>331</v>
      </c>
      <c r="H58" s="9" t="n">
        <v>50</v>
      </c>
    </row>
    <row r="59" customFormat="false" ht="15" hidden="false" customHeight="false" outlineLevel="0" collapsed="false">
      <c r="A59" s="9" t="n">
        <v>58</v>
      </c>
      <c r="B59" s="9" t="s">
        <v>790</v>
      </c>
      <c r="C59" s="9" t="n">
        <v>0</v>
      </c>
      <c r="D59" s="9"/>
      <c r="E59" s="9"/>
      <c r="F59" s="9" t="s">
        <v>196</v>
      </c>
      <c r="G59" s="9" t="n">
        <v>3000</v>
      </c>
      <c r="H59" s="9" t="n">
        <v>0</v>
      </c>
    </row>
    <row r="60" customFormat="false" ht="15" hidden="false" customHeight="false" outlineLevel="0" collapsed="false">
      <c r="A60" s="9" t="n">
        <v>59</v>
      </c>
      <c r="B60" s="9" t="s">
        <v>791</v>
      </c>
      <c r="C60" s="9" t="n">
        <v>0</v>
      </c>
      <c r="D60" s="9"/>
      <c r="E60" s="9"/>
      <c r="F60" s="9" t="s">
        <v>196</v>
      </c>
      <c r="G60" s="9" t="n">
        <v>1723</v>
      </c>
      <c r="H60" s="9" t="n">
        <v>50</v>
      </c>
    </row>
    <row r="61" customFormat="false" ht="15" hidden="false" customHeight="false" outlineLevel="0" collapsed="false">
      <c r="A61" s="9" t="n">
        <v>60</v>
      </c>
      <c r="B61" s="9" t="s">
        <v>792</v>
      </c>
      <c r="C61" s="9" t="n">
        <v>0</v>
      </c>
      <c r="D61" s="9"/>
      <c r="E61" s="9"/>
      <c r="F61" s="9" t="s">
        <v>196</v>
      </c>
      <c r="G61" s="9" t="n">
        <v>4000</v>
      </c>
      <c r="H61" s="9" t="n">
        <v>0</v>
      </c>
    </row>
    <row r="62" customFormat="false" ht="15" hidden="false" customHeight="false" outlineLevel="0" collapsed="false">
      <c r="A62" s="9" t="n">
        <v>61</v>
      </c>
      <c r="B62" s="9" t="s">
        <v>793</v>
      </c>
      <c r="C62" s="9" t="n">
        <v>0</v>
      </c>
      <c r="D62" s="9"/>
      <c r="E62" s="9"/>
      <c r="F62" s="9" t="s">
        <v>196</v>
      </c>
      <c r="G62" s="9" t="n">
        <v>5000</v>
      </c>
      <c r="H62" s="9" t="n">
        <v>0</v>
      </c>
    </row>
    <row r="63" customFormat="false" ht="15" hidden="false" customHeight="false" outlineLevel="0" collapsed="false">
      <c r="A63" s="9" t="n">
        <v>62</v>
      </c>
      <c r="B63" s="9" t="s">
        <v>794</v>
      </c>
      <c r="C63" s="9" t="n">
        <v>0</v>
      </c>
      <c r="D63" s="9"/>
      <c r="E63" s="9"/>
      <c r="F63" s="9" t="s">
        <v>196</v>
      </c>
      <c r="G63" s="9" t="n">
        <v>3000</v>
      </c>
      <c r="H63" s="9" t="n">
        <v>0</v>
      </c>
    </row>
    <row r="64" customFormat="false" ht="15" hidden="false" customHeight="false" outlineLevel="0" collapsed="false">
      <c r="A64" s="9" t="n">
        <v>63</v>
      </c>
      <c r="B64" s="9" t="s">
        <v>795</v>
      </c>
      <c r="C64" s="9" t="n">
        <v>0</v>
      </c>
      <c r="D64" s="9"/>
      <c r="E64" s="9"/>
      <c r="F64" s="9" t="s">
        <v>196</v>
      </c>
      <c r="G64" s="9" t="n">
        <v>4184</v>
      </c>
      <c r="H64" s="9" t="n">
        <v>0</v>
      </c>
    </row>
    <row r="65" customFormat="false" ht="15" hidden="false" customHeight="false" outlineLevel="0" collapsed="false">
      <c r="A65" s="9" t="n">
        <v>64</v>
      </c>
      <c r="B65" s="9" t="s">
        <v>796</v>
      </c>
      <c r="C65" s="9" t="n">
        <v>0</v>
      </c>
      <c r="D65" s="9"/>
      <c r="E65" s="9"/>
      <c r="F65" s="9" t="s">
        <v>196</v>
      </c>
      <c r="G65" s="9" t="n">
        <v>9193</v>
      </c>
      <c r="H65" s="9" t="n">
        <v>50</v>
      </c>
    </row>
    <row r="66" customFormat="false" ht="15" hidden="false" customHeight="false" outlineLevel="0" collapsed="false">
      <c r="A66" s="9" t="n">
        <v>65</v>
      </c>
      <c r="B66" s="9" t="s">
        <v>797</v>
      </c>
      <c r="C66" s="9" t="n">
        <v>0</v>
      </c>
      <c r="D66" s="9"/>
      <c r="E66" s="9"/>
      <c r="F66" s="9" t="s">
        <v>196</v>
      </c>
      <c r="G66" s="9" t="n">
        <v>4750</v>
      </c>
      <c r="H66" s="9" t="n">
        <v>0</v>
      </c>
    </row>
    <row r="67" customFormat="false" ht="15" hidden="false" customHeight="false" outlineLevel="0" collapsed="false">
      <c r="A67" s="9" t="n">
        <v>66</v>
      </c>
      <c r="B67" s="9" t="s">
        <v>798</v>
      </c>
      <c r="C67" s="9" t="n">
        <v>0</v>
      </c>
      <c r="D67" s="9"/>
      <c r="E67" s="9"/>
      <c r="F67" s="9" t="s">
        <v>196</v>
      </c>
      <c r="G67" s="9" t="n">
        <v>500</v>
      </c>
      <c r="H67" s="9" t="n">
        <v>0</v>
      </c>
    </row>
  </sheetData>
  <conditionalFormatting sqref="F2:F67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799</v>
      </c>
      <c r="C2" s="7" t="n">
        <v>1561.1</v>
      </c>
      <c r="D2" s="8" t="n">
        <f aca="false">C2/SUM($C$2:$C$57)</f>
        <v>0.157402272658527</v>
      </c>
      <c r="E2" s="8" t="n">
        <f aca="false">D2</f>
        <v>0.157402272658527</v>
      </c>
      <c r="F2" s="7" t="str">
        <f aca="false">IF(E2&lt;=0.7,"A",IF(E2&lt;=0.9,"B","C"))</f>
        <v>A</v>
      </c>
      <c r="G2" s="7" t="n">
        <v>2134</v>
      </c>
      <c r="H2" s="7" t="n">
        <v>1100</v>
      </c>
    </row>
    <row r="3" customFormat="false" ht="15" hidden="false" customHeight="false" outlineLevel="0" collapsed="false">
      <c r="A3" s="7" t="n">
        <v>2</v>
      </c>
      <c r="B3" s="7" t="s">
        <v>800</v>
      </c>
      <c r="C3" s="7" t="n">
        <v>1305.4</v>
      </c>
      <c r="D3" s="8" t="n">
        <f aca="false">C3/SUM($C$2:$C$57)</f>
        <v>0.131620605168433</v>
      </c>
      <c r="E3" s="8" t="n">
        <f aca="false">E2+D3</f>
        <v>0.289022877826959</v>
      </c>
      <c r="F3" s="7" t="str">
        <f aca="false">IF(E3&lt;=0.7,"A",IF(E3&lt;=0.9,"B","C"))</f>
        <v>A</v>
      </c>
      <c r="G3" s="7" t="n">
        <v>665</v>
      </c>
      <c r="H3" s="7" t="n">
        <v>1200</v>
      </c>
    </row>
    <row r="4" customFormat="false" ht="15" hidden="false" customHeight="false" outlineLevel="0" collapsed="false">
      <c r="A4" s="7" t="n">
        <v>3</v>
      </c>
      <c r="B4" s="7" t="s">
        <v>801</v>
      </c>
      <c r="C4" s="7" t="n">
        <v>968.6</v>
      </c>
      <c r="D4" s="8" t="n">
        <f aca="false">C4/SUM($C$2:$C$57)</f>
        <v>0.097661803405963</v>
      </c>
      <c r="E4" s="8" t="n">
        <f aca="false">E3+D4</f>
        <v>0.386684681232922</v>
      </c>
      <c r="F4" s="7" t="str">
        <f aca="false">IF(E4&lt;=0.7,"A",IF(E4&lt;=0.9,"B","C"))</f>
        <v>A</v>
      </c>
      <c r="G4" s="7" t="n">
        <v>501</v>
      </c>
      <c r="H4" s="7" t="n">
        <v>1000</v>
      </c>
    </row>
    <row r="5" customFormat="false" ht="15" hidden="false" customHeight="false" outlineLevel="0" collapsed="false">
      <c r="A5" s="7" t="n">
        <v>4</v>
      </c>
      <c r="B5" s="7" t="s">
        <v>802</v>
      </c>
      <c r="C5" s="7" t="n">
        <v>849.5</v>
      </c>
      <c r="D5" s="8" t="n">
        <f aca="false">C5/SUM($C$2:$C$57)</f>
        <v>0.0856532128777261</v>
      </c>
      <c r="E5" s="8" t="n">
        <f aca="false">E4+D5</f>
        <v>0.472337894110648</v>
      </c>
      <c r="F5" s="7" t="str">
        <f aca="false">IF(E5&lt;=0.7,"A",IF(E5&lt;=0.9,"B","C"))</f>
        <v>A</v>
      </c>
      <c r="G5" s="7" t="n">
        <v>2864</v>
      </c>
      <c r="H5" s="7" t="n">
        <v>100</v>
      </c>
    </row>
    <row r="6" customFormat="false" ht="15" hidden="false" customHeight="false" outlineLevel="0" collapsed="false">
      <c r="A6" s="7" t="n">
        <v>5</v>
      </c>
      <c r="B6" s="7" t="s">
        <v>803</v>
      </c>
      <c r="C6" s="7" t="n">
        <v>794.9</v>
      </c>
      <c r="D6" s="8" t="n">
        <f aca="false">C6/SUM($C$2:$C$57)</f>
        <v>0.0801480152048317</v>
      </c>
      <c r="E6" s="8" t="n">
        <f aca="false">E5+D6</f>
        <v>0.55248590931548</v>
      </c>
      <c r="F6" s="7" t="str">
        <f aca="false">IF(E6&lt;=0.7,"A",IF(E6&lt;=0.9,"B","C"))</f>
        <v>A</v>
      </c>
      <c r="G6" s="7" t="n">
        <v>3220</v>
      </c>
      <c r="H6" s="7" t="n">
        <v>1000</v>
      </c>
    </row>
    <row r="7" customFormat="false" ht="15" hidden="false" customHeight="false" outlineLevel="0" collapsed="false">
      <c r="A7" s="7" t="n">
        <v>6</v>
      </c>
      <c r="B7" s="7" t="s">
        <v>804</v>
      </c>
      <c r="C7" s="7" t="n">
        <v>734.6</v>
      </c>
      <c r="D7" s="8" t="n">
        <f aca="false">C7/SUM($C$2:$C$57)</f>
        <v>0.0740680990935581</v>
      </c>
      <c r="E7" s="8" t="n">
        <f aca="false">E6+D7</f>
        <v>0.626554008409038</v>
      </c>
      <c r="F7" s="7" t="str">
        <f aca="false">IF(E7&lt;=0.7,"A",IF(E7&lt;=0.9,"B","C"))</f>
        <v>A</v>
      </c>
      <c r="G7" s="7" t="n">
        <v>2536</v>
      </c>
      <c r="H7" s="7" t="n">
        <v>150</v>
      </c>
    </row>
    <row r="8" customFormat="false" ht="15" hidden="false" customHeight="false" outlineLevel="0" collapsed="false">
      <c r="A8" s="7" t="n">
        <v>7</v>
      </c>
      <c r="B8" s="7" t="s">
        <v>805</v>
      </c>
      <c r="C8" s="7" t="n">
        <v>611.9</v>
      </c>
      <c r="D8" s="8" t="n">
        <f aca="false">C8/SUM($C$2:$C$57)</f>
        <v>0.0616965284989766</v>
      </c>
      <c r="E8" s="8" t="n">
        <f aca="false">E7+D8</f>
        <v>0.688250536908015</v>
      </c>
      <c r="F8" s="7" t="str">
        <f aca="false">IF(E8&lt;=0.7,"A",IF(E8&lt;=0.9,"B","C"))</f>
        <v>A</v>
      </c>
      <c r="G8" s="7" t="n">
        <v>2918</v>
      </c>
      <c r="H8" s="7" t="n">
        <v>1000</v>
      </c>
    </row>
    <row r="9" customFormat="false" ht="15" hidden="false" customHeight="false" outlineLevel="0" collapsed="false">
      <c r="A9" s="7" t="n">
        <v>8</v>
      </c>
      <c r="B9" s="7" t="s">
        <v>806</v>
      </c>
      <c r="C9" s="7" t="n">
        <v>527</v>
      </c>
      <c r="D9" s="8" t="n">
        <f aca="false">C9/SUM($C$2:$C$57)</f>
        <v>0.0531362486010143</v>
      </c>
      <c r="E9" s="8" t="n">
        <f aca="false">E8+D9</f>
        <v>0.741386785509029</v>
      </c>
      <c r="F9" s="7" t="str">
        <f aca="false">IF(E9&lt;=0.7,"A",IF(E9&lt;=0.9,"B","C"))</f>
        <v>B</v>
      </c>
      <c r="G9" s="7" t="n">
        <v>3292</v>
      </c>
      <c r="H9" s="7" t="n">
        <v>700</v>
      </c>
    </row>
    <row r="10" customFormat="false" ht="15" hidden="false" customHeight="false" outlineLevel="0" collapsed="false">
      <c r="A10" s="7" t="n">
        <v>9</v>
      </c>
      <c r="B10" s="7" t="s">
        <v>807</v>
      </c>
      <c r="C10" s="7" t="n">
        <v>454.3</v>
      </c>
      <c r="D10" s="8" t="n">
        <f aca="false">C10/SUM($C$2:$C$57)</f>
        <v>0.0458060678167757</v>
      </c>
      <c r="E10" s="8" t="n">
        <f aca="false">E9+D10</f>
        <v>0.787192853325805</v>
      </c>
      <c r="F10" s="7" t="str">
        <f aca="false">IF(E10&lt;=0.7,"A",IF(E10&lt;=0.9,"B","C"))</f>
        <v>B</v>
      </c>
      <c r="G10" s="7" t="n">
        <v>1345</v>
      </c>
      <c r="H10" s="7" t="n">
        <v>750</v>
      </c>
    </row>
    <row r="11" customFormat="false" ht="15" hidden="false" customHeight="false" outlineLevel="0" collapsed="false">
      <c r="A11" s="7" t="n">
        <v>10</v>
      </c>
      <c r="B11" s="7" t="s">
        <v>808</v>
      </c>
      <c r="C11" s="7" t="n">
        <v>228.6</v>
      </c>
      <c r="D11" s="8" t="n">
        <f aca="false">C11/SUM($C$2:$C$57)</f>
        <v>0.0230492342128878</v>
      </c>
      <c r="E11" s="8" t="n">
        <f aca="false">E10+D11</f>
        <v>0.810242087538693</v>
      </c>
      <c r="F11" s="7" t="str">
        <f aca="false">IF(E11&lt;=0.7,"A",IF(E11&lt;=0.9,"B","C"))</f>
        <v>B</v>
      </c>
      <c r="G11" s="7" t="n">
        <v>577</v>
      </c>
      <c r="H11" s="7" t="n">
        <v>500</v>
      </c>
    </row>
    <row r="12" customFormat="false" ht="15" hidden="false" customHeight="false" outlineLevel="0" collapsed="false">
      <c r="A12" s="7" t="n">
        <v>11</v>
      </c>
      <c r="B12" s="7" t="s">
        <v>809</v>
      </c>
      <c r="C12" s="7" t="n">
        <v>213.5</v>
      </c>
      <c r="D12" s="8" t="n">
        <f aca="false">C12/SUM($C$2:$C$57)</f>
        <v>0.0215267344901642</v>
      </c>
      <c r="E12" s="8" t="n">
        <f aca="false">E11+D12</f>
        <v>0.831768822028857</v>
      </c>
      <c r="F12" s="7" t="str">
        <f aca="false">IF(E12&lt;=0.7,"A",IF(E12&lt;=0.9,"B","C"))</f>
        <v>B</v>
      </c>
      <c r="G12" s="7" t="n">
        <v>4072</v>
      </c>
      <c r="H12" s="7" t="n">
        <v>150</v>
      </c>
    </row>
    <row r="13" customFormat="false" ht="15" hidden="false" customHeight="false" outlineLevel="0" collapsed="false">
      <c r="A13" s="7" t="n">
        <v>12</v>
      </c>
      <c r="B13" s="7" t="s">
        <v>810</v>
      </c>
      <c r="C13" s="7" t="n">
        <v>197.6</v>
      </c>
      <c r="D13" s="8" t="n">
        <f aca="false">C13/SUM($C$2:$C$57)</f>
        <v>0.0199235725304752</v>
      </c>
      <c r="E13" s="8" t="n">
        <f aca="false">E12+D13</f>
        <v>0.851692394559332</v>
      </c>
      <c r="F13" s="7" t="str">
        <f aca="false">IF(E13&lt;=0.7,"A",IF(E13&lt;=0.9,"B","C"))</f>
        <v>B</v>
      </c>
      <c r="G13" s="7" t="n">
        <v>2341</v>
      </c>
      <c r="H13" s="7" t="n">
        <v>100</v>
      </c>
    </row>
    <row r="14" customFormat="false" ht="15" hidden="false" customHeight="false" outlineLevel="0" collapsed="false">
      <c r="A14" s="7" t="n">
        <v>13</v>
      </c>
      <c r="B14" s="7" t="s">
        <v>811</v>
      </c>
      <c r="C14" s="7" t="n">
        <v>157</v>
      </c>
      <c r="D14" s="8" t="n">
        <f aca="false">C14/SUM($C$2:$C$57)</f>
        <v>0.0158299640044768</v>
      </c>
      <c r="E14" s="8" t="n">
        <f aca="false">E13+D14</f>
        <v>0.867522358563809</v>
      </c>
      <c r="F14" s="7" t="str">
        <f aca="false">IF(E14&lt;=0.7,"A",IF(E14&lt;=0.9,"B","C"))</f>
        <v>B</v>
      </c>
      <c r="G14" s="7" t="n">
        <v>547</v>
      </c>
      <c r="H14" s="7" t="n">
        <v>700</v>
      </c>
    </row>
    <row r="15" customFormat="false" ht="15" hidden="false" customHeight="false" outlineLevel="0" collapsed="false">
      <c r="A15" s="7" t="n">
        <v>14</v>
      </c>
      <c r="B15" s="7" t="s">
        <v>812</v>
      </c>
      <c r="C15" s="7" t="n">
        <v>118.6</v>
      </c>
      <c r="D15" s="8" t="n">
        <f aca="false">C15/SUM($C$2:$C$57)</f>
        <v>0.0119581766301334</v>
      </c>
      <c r="E15" s="8" t="n">
        <f aca="false">E14+D15</f>
        <v>0.879480535193942</v>
      </c>
      <c r="F15" s="7" t="str">
        <f aca="false">IF(E15&lt;=0.7,"A",IF(E15&lt;=0.9,"B","C"))</f>
        <v>B</v>
      </c>
      <c r="G15" s="7" t="n">
        <v>660</v>
      </c>
      <c r="H15" s="7" t="n">
        <v>100</v>
      </c>
    </row>
    <row r="16" customFormat="false" ht="15" hidden="false" customHeight="false" outlineLevel="0" collapsed="false">
      <c r="A16" s="7" t="n">
        <v>15</v>
      </c>
      <c r="B16" s="7" t="s">
        <v>813</v>
      </c>
      <c r="C16" s="7" t="n">
        <v>113.5</v>
      </c>
      <c r="D16" s="8" t="n">
        <f aca="false">C16/SUM($C$2:$C$57)</f>
        <v>0.0114439548694784</v>
      </c>
      <c r="E16" s="8" t="n">
        <f aca="false">E15+D16</f>
        <v>0.890924490063421</v>
      </c>
      <c r="F16" s="7" t="str">
        <f aca="false">IF(E16&lt;=0.7,"A",IF(E16&lt;=0.9,"B","C"))</f>
        <v>B</v>
      </c>
      <c r="G16" s="7" t="n">
        <v>935</v>
      </c>
      <c r="H16" s="7" t="n">
        <v>150</v>
      </c>
    </row>
    <row r="17" customFormat="false" ht="15" hidden="false" customHeight="false" outlineLevel="0" collapsed="false">
      <c r="A17" s="7" t="n">
        <v>16</v>
      </c>
      <c r="B17" s="7" t="s">
        <v>814</v>
      </c>
      <c r="C17" s="7" t="n">
        <v>108.1</v>
      </c>
      <c r="D17" s="8" t="n">
        <f aca="false">C17/SUM($C$2:$C$57)</f>
        <v>0.0108994847699614</v>
      </c>
      <c r="E17" s="8" t="n">
        <f aca="false">E16+D17</f>
        <v>0.901823974833382</v>
      </c>
      <c r="F17" s="7" t="str">
        <f aca="false">IF(E17&lt;=0.7,"A",IF(E17&lt;=0.9,"B","C"))</f>
        <v>C</v>
      </c>
      <c r="G17" s="7" t="n">
        <v>2043</v>
      </c>
      <c r="H17" s="7" t="n">
        <v>700</v>
      </c>
    </row>
    <row r="18" customFormat="false" ht="15" hidden="false" customHeight="false" outlineLevel="0" collapsed="false">
      <c r="A18" s="7" t="n">
        <v>17</v>
      </c>
      <c r="B18" s="7" t="s">
        <v>815</v>
      </c>
      <c r="C18" s="7" t="n">
        <v>93.5</v>
      </c>
      <c r="D18" s="8" t="n">
        <f aca="false">C18/SUM($C$2:$C$57)</f>
        <v>0.00942739894534125</v>
      </c>
      <c r="E18" s="8" t="n">
        <f aca="false">E17+D18</f>
        <v>0.911251373778724</v>
      </c>
      <c r="F18" s="7" t="str">
        <f aca="false">IF(E18&lt;=0.7,"A",IF(E18&lt;=0.9,"B","C"))</f>
        <v>C</v>
      </c>
      <c r="G18" s="7" t="n">
        <v>1053</v>
      </c>
      <c r="H18" s="7" t="n">
        <v>400</v>
      </c>
    </row>
    <row r="19" customFormat="false" ht="15" hidden="false" customHeight="false" outlineLevel="0" collapsed="false">
      <c r="A19" s="7" t="n">
        <v>18</v>
      </c>
      <c r="B19" s="7" t="s">
        <v>816</v>
      </c>
      <c r="C19" s="7" t="n">
        <v>93</v>
      </c>
      <c r="D19" s="8" t="n">
        <f aca="false">C19/SUM($C$2:$C$57)</f>
        <v>0.00937698504723782</v>
      </c>
      <c r="E19" s="8" t="n">
        <f aca="false">E18+D19</f>
        <v>0.920628358825961</v>
      </c>
      <c r="F19" s="7" t="str">
        <f aca="false">IF(E19&lt;=0.7,"A",IF(E19&lt;=0.9,"B","C"))</f>
        <v>C</v>
      </c>
      <c r="G19" s="7" t="n">
        <v>3607</v>
      </c>
      <c r="H19" s="7" t="n">
        <v>150</v>
      </c>
    </row>
    <row r="20" customFormat="false" ht="15" hidden="false" customHeight="false" outlineLevel="0" collapsed="false">
      <c r="A20" s="7" t="n">
        <v>19</v>
      </c>
      <c r="B20" s="7" t="s">
        <v>817</v>
      </c>
      <c r="C20" s="7" t="n">
        <v>79.7</v>
      </c>
      <c r="D20" s="8" t="n">
        <f aca="false">C20/SUM($C$2:$C$57)</f>
        <v>0.00803597535768661</v>
      </c>
      <c r="E20" s="8" t="n">
        <f aca="false">E19+D20</f>
        <v>0.928664334183648</v>
      </c>
      <c r="F20" s="7" t="str">
        <f aca="false">IF(E20&lt;=0.7,"A",IF(E20&lt;=0.9,"B","C"))</f>
        <v>C</v>
      </c>
      <c r="G20" s="7" t="n">
        <v>1977</v>
      </c>
      <c r="H20" s="7" t="n">
        <v>50</v>
      </c>
    </row>
    <row r="21" customFormat="false" ht="15" hidden="false" customHeight="false" outlineLevel="0" collapsed="false">
      <c r="A21" s="7" t="n">
        <v>20</v>
      </c>
      <c r="B21" s="7" t="s">
        <v>818</v>
      </c>
      <c r="C21" s="7" t="n">
        <v>77.8</v>
      </c>
      <c r="D21" s="8" t="n">
        <f aca="false">C21/SUM($C$2:$C$57)</f>
        <v>0.00784440254489358</v>
      </c>
      <c r="E21" s="8" t="n">
        <f aca="false">E20+D21</f>
        <v>0.936508736728542</v>
      </c>
      <c r="F21" s="7" t="str">
        <f aca="false">IF(E21&lt;=0.7,"A",IF(E21&lt;=0.9,"B","C"))</f>
        <v>C</v>
      </c>
      <c r="G21" s="7" t="n">
        <v>202</v>
      </c>
      <c r="H21" s="7" t="n">
        <v>0</v>
      </c>
    </row>
    <row r="22" customFormat="false" ht="15" hidden="false" customHeight="false" outlineLevel="0" collapsed="false">
      <c r="A22" s="7" t="n">
        <v>21</v>
      </c>
      <c r="B22" s="7" t="s">
        <v>819</v>
      </c>
      <c r="C22" s="7" t="n">
        <v>66.8</v>
      </c>
      <c r="D22" s="8" t="n">
        <f aca="false">C22/SUM($C$2:$C$57)</f>
        <v>0.00673529678661814</v>
      </c>
      <c r="E22" s="8" t="n">
        <f aca="false">E21+D22</f>
        <v>0.94324403351516</v>
      </c>
      <c r="F22" s="7" t="str">
        <f aca="false">IF(E22&lt;=0.7,"A",IF(E22&lt;=0.9,"B","C"))</f>
        <v>C</v>
      </c>
      <c r="G22" s="7" t="n">
        <v>1411</v>
      </c>
      <c r="H22" s="7" t="n">
        <v>150</v>
      </c>
    </row>
    <row r="23" customFormat="false" ht="15" hidden="false" customHeight="false" outlineLevel="0" collapsed="false">
      <c r="A23" s="7" t="n">
        <v>22</v>
      </c>
      <c r="B23" s="7" t="s">
        <v>820</v>
      </c>
      <c r="C23" s="7" t="n">
        <v>58.4</v>
      </c>
      <c r="D23" s="8" t="n">
        <f aca="false">C23/SUM($C$2:$C$57)</f>
        <v>0.00588834329848053</v>
      </c>
      <c r="E23" s="8" t="n">
        <f aca="false">E22+D23</f>
        <v>0.94913237681364</v>
      </c>
      <c r="F23" s="7" t="str">
        <f aca="false">IF(E23&lt;=0.7,"A",IF(E23&lt;=0.9,"B","C"))</f>
        <v>C</v>
      </c>
      <c r="G23" s="7" t="n">
        <v>1264</v>
      </c>
      <c r="H23" s="7" t="n">
        <v>700</v>
      </c>
    </row>
    <row r="24" customFormat="false" ht="15" hidden="false" customHeight="false" outlineLevel="0" collapsed="false">
      <c r="A24" s="7" t="n">
        <v>23</v>
      </c>
      <c r="B24" s="7" t="s">
        <v>821</v>
      </c>
      <c r="C24" s="7" t="n">
        <v>53.8</v>
      </c>
      <c r="D24" s="8" t="n">
        <f aca="false">C24/SUM($C$2:$C$57)</f>
        <v>0.00542453543592898</v>
      </c>
      <c r="E24" s="8" t="n">
        <f aca="false">E23+D24</f>
        <v>0.954556912249569</v>
      </c>
      <c r="F24" s="7" t="str">
        <f aca="false">IF(E24&lt;=0.7,"A",IF(E24&lt;=0.9,"B","C"))</f>
        <v>C</v>
      </c>
      <c r="G24" s="7" t="n">
        <v>2227</v>
      </c>
      <c r="H24" s="7" t="n">
        <v>250</v>
      </c>
    </row>
    <row r="25" customFormat="false" ht="15" hidden="false" customHeight="false" outlineLevel="0" collapsed="false">
      <c r="A25" s="7" t="n">
        <v>24</v>
      </c>
      <c r="B25" s="7" t="s">
        <v>822</v>
      </c>
      <c r="C25" s="7" t="n">
        <v>50</v>
      </c>
      <c r="D25" s="8" t="n">
        <f aca="false">C25/SUM($C$2:$C$57)</f>
        <v>0.00504138981034292</v>
      </c>
      <c r="E25" s="8" t="n">
        <f aca="false">E24+D25</f>
        <v>0.959598302059912</v>
      </c>
      <c r="F25" s="7" t="str">
        <f aca="false">IF(E25&lt;=0.7,"A",IF(E25&lt;=0.9,"B","C"))</f>
        <v>C</v>
      </c>
      <c r="G25" s="7" t="n">
        <v>576</v>
      </c>
      <c r="H25" s="7" t="n">
        <v>50</v>
      </c>
    </row>
    <row r="26" customFormat="false" ht="15" hidden="false" customHeight="false" outlineLevel="0" collapsed="false">
      <c r="A26" s="7" t="n">
        <v>25</v>
      </c>
      <c r="B26" s="7" t="s">
        <v>823</v>
      </c>
      <c r="C26" s="7" t="n">
        <v>40.3</v>
      </c>
      <c r="D26" s="8" t="n">
        <f aca="false">C26/SUM($C$2:$C$57)</f>
        <v>0.00406336018713639</v>
      </c>
      <c r="E26" s="8" t="n">
        <f aca="false">E25+D26</f>
        <v>0.963661662247049</v>
      </c>
      <c r="F26" s="7" t="str">
        <f aca="false">IF(E26&lt;=0.7,"A",IF(E26&lt;=0.9,"B","C"))</f>
        <v>C</v>
      </c>
      <c r="G26" s="7" t="n">
        <v>201</v>
      </c>
      <c r="H26" s="7" t="n">
        <v>50</v>
      </c>
    </row>
    <row r="27" customFormat="false" ht="15" hidden="false" customHeight="false" outlineLevel="0" collapsed="false">
      <c r="A27" s="7" t="n">
        <v>26</v>
      </c>
      <c r="B27" s="7" t="s">
        <v>824</v>
      </c>
      <c r="C27" s="7" t="n">
        <v>37.3</v>
      </c>
      <c r="D27" s="8" t="n">
        <f aca="false">C27/SUM($C$2:$C$57)</f>
        <v>0.00376087679851582</v>
      </c>
      <c r="E27" s="8" t="n">
        <f aca="false">E26+D27</f>
        <v>0.967422539045564</v>
      </c>
      <c r="F27" s="7" t="str">
        <f aca="false">IF(E27&lt;=0.7,"A",IF(E27&lt;=0.9,"B","C"))</f>
        <v>C</v>
      </c>
      <c r="G27" s="7" t="n">
        <v>2673</v>
      </c>
      <c r="H27" s="7" t="n">
        <v>50</v>
      </c>
    </row>
    <row r="28" customFormat="false" ht="15" hidden="false" customHeight="false" outlineLevel="0" collapsed="false">
      <c r="A28" s="7" t="n">
        <v>27</v>
      </c>
      <c r="B28" s="7" t="s">
        <v>825</v>
      </c>
      <c r="C28" s="7" t="n">
        <v>36.2</v>
      </c>
      <c r="D28" s="8" t="n">
        <f aca="false">C28/SUM($C$2:$C$57)</f>
        <v>0.00364996622268827</v>
      </c>
      <c r="E28" s="8" t="n">
        <f aca="false">E27+D28</f>
        <v>0.971072505268253</v>
      </c>
      <c r="F28" s="7" t="str">
        <f aca="false">IF(E28&lt;=0.7,"A",IF(E28&lt;=0.9,"B","C"))</f>
        <v>C</v>
      </c>
      <c r="G28" s="7" t="n">
        <v>1144</v>
      </c>
      <c r="H28" s="7" t="n">
        <v>400</v>
      </c>
    </row>
    <row r="29" customFormat="false" ht="15" hidden="false" customHeight="false" outlineLevel="0" collapsed="false">
      <c r="A29" s="7" t="n">
        <v>28</v>
      </c>
      <c r="B29" s="7" t="s">
        <v>826</v>
      </c>
      <c r="C29" s="7" t="n">
        <v>31.9</v>
      </c>
      <c r="D29" s="8" t="n">
        <f aca="false">C29/SUM($C$2:$C$57)</f>
        <v>0.00321640669899878</v>
      </c>
      <c r="E29" s="8" t="n">
        <f aca="false">E28+D29</f>
        <v>0.974288911967252</v>
      </c>
      <c r="F29" s="7" t="str">
        <f aca="false">IF(E29&lt;=0.7,"A",IF(E29&lt;=0.9,"B","C"))</f>
        <v>C</v>
      </c>
      <c r="G29" s="7" t="n">
        <v>2017</v>
      </c>
      <c r="H29" s="7" t="n">
        <v>50</v>
      </c>
    </row>
    <row r="30" customFormat="false" ht="15" hidden="false" customHeight="false" outlineLevel="0" collapsed="false">
      <c r="A30" s="7" t="n">
        <v>29</v>
      </c>
      <c r="B30" s="7" t="s">
        <v>827</v>
      </c>
      <c r="C30" s="7" t="n">
        <v>27</v>
      </c>
      <c r="D30" s="8" t="n">
        <f aca="false">C30/SUM($C$2:$C$57)</f>
        <v>0.00272235049758517</v>
      </c>
      <c r="E30" s="8" t="n">
        <f aca="false">E29+D30</f>
        <v>0.977011262464837</v>
      </c>
      <c r="F30" s="7" t="str">
        <f aca="false">IF(E30&lt;=0.7,"A",IF(E30&lt;=0.9,"B","C"))</f>
        <v>C</v>
      </c>
      <c r="G30" s="7" t="n">
        <v>150</v>
      </c>
      <c r="H30" s="7" t="n">
        <v>0</v>
      </c>
    </row>
    <row r="31" customFormat="false" ht="15" hidden="false" customHeight="false" outlineLevel="0" collapsed="false">
      <c r="A31" s="7" t="n">
        <v>30</v>
      </c>
      <c r="B31" s="7" t="s">
        <v>828</v>
      </c>
      <c r="C31" s="7" t="n">
        <v>27</v>
      </c>
      <c r="D31" s="8" t="n">
        <f aca="false">C31/SUM($C$2:$C$57)</f>
        <v>0.00272235049758517</v>
      </c>
      <c r="E31" s="8" t="n">
        <f aca="false">E30+D31</f>
        <v>0.979733612962422</v>
      </c>
      <c r="F31" s="7" t="str">
        <f aca="false">IF(E31&lt;=0.7,"A",IF(E31&lt;=0.9,"B","C"))</f>
        <v>C</v>
      </c>
      <c r="G31" s="7" t="n">
        <v>265</v>
      </c>
      <c r="H31" s="7" t="n">
        <v>50</v>
      </c>
    </row>
    <row r="32" customFormat="false" ht="15" hidden="false" customHeight="false" outlineLevel="0" collapsed="false">
      <c r="A32" s="7" t="n">
        <v>31</v>
      </c>
      <c r="B32" s="7" t="s">
        <v>829</v>
      </c>
      <c r="C32" s="7" t="n">
        <v>24.3</v>
      </c>
      <c r="D32" s="8" t="n">
        <f aca="false">C32/SUM($C$2:$C$57)</f>
        <v>0.00245011544782666</v>
      </c>
      <c r="E32" s="8" t="n">
        <f aca="false">E31+D32</f>
        <v>0.982183728410249</v>
      </c>
      <c r="F32" s="7" t="str">
        <f aca="false">IF(E32&lt;=0.7,"A",IF(E32&lt;=0.9,"B","C"))</f>
        <v>C</v>
      </c>
      <c r="G32" s="7" t="n">
        <v>372</v>
      </c>
      <c r="H32" s="7" t="n">
        <v>100</v>
      </c>
    </row>
    <row r="33" customFormat="false" ht="15" hidden="false" customHeight="false" outlineLevel="0" collapsed="false">
      <c r="A33" s="7" t="n">
        <v>32</v>
      </c>
      <c r="B33" s="7" t="s">
        <v>830</v>
      </c>
      <c r="C33" s="7" t="n">
        <v>23</v>
      </c>
      <c r="D33" s="8" t="n">
        <f aca="false">C33/SUM($C$2:$C$57)</f>
        <v>0.00231903931275774</v>
      </c>
      <c r="E33" s="8" t="n">
        <f aca="false">E32+D33</f>
        <v>0.984502767723006</v>
      </c>
      <c r="F33" s="7" t="str">
        <f aca="false">IF(E33&lt;=0.7,"A",IF(E33&lt;=0.9,"B","C"))</f>
        <v>C</v>
      </c>
      <c r="G33" s="7" t="n">
        <v>295</v>
      </c>
      <c r="H33" s="7" t="n">
        <v>0</v>
      </c>
    </row>
    <row r="34" customFormat="false" ht="15" hidden="false" customHeight="false" outlineLevel="0" collapsed="false">
      <c r="A34" s="7" t="n">
        <v>33</v>
      </c>
      <c r="B34" s="7" t="s">
        <v>831</v>
      </c>
      <c r="C34" s="7" t="n">
        <v>20.3</v>
      </c>
      <c r="D34" s="8" t="n">
        <f aca="false">C34/SUM($C$2:$C$57)</f>
        <v>0.00204680426299922</v>
      </c>
      <c r="E34" s="8" t="n">
        <f aca="false">E33+D34</f>
        <v>0.986549571986006</v>
      </c>
      <c r="F34" s="7" t="str">
        <f aca="false">IF(E34&lt;=0.7,"A",IF(E34&lt;=0.9,"B","C"))</f>
        <v>C</v>
      </c>
      <c r="G34" s="7" t="n">
        <v>1618</v>
      </c>
      <c r="H34" s="7" t="n">
        <v>50</v>
      </c>
    </row>
    <row r="35" customFormat="false" ht="15" hidden="false" customHeight="false" outlineLevel="0" collapsed="false">
      <c r="A35" s="7" t="n">
        <v>34</v>
      </c>
      <c r="B35" s="7" t="s">
        <v>832</v>
      </c>
      <c r="C35" s="7" t="n">
        <v>18.4</v>
      </c>
      <c r="D35" s="8" t="n">
        <f aca="false">C35/SUM($C$2:$C$57)</f>
        <v>0.00185523145020619</v>
      </c>
      <c r="E35" s="8" t="n">
        <f aca="false">E34+D35</f>
        <v>0.988404803436212</v>
      </c>
      <c r="F35" s="7" t="str">
        <f aca="false">IF(E35&lt;=0.7,"A",IF(E35&lt;=0.9,"B","C"))</f>
        <v>C</v>
      </c>
      <c r="G35" s="7" t="n">
        <v>916</v>
      </c>
      <c r="H35" s="7" t="n">
        <v>1000</v>
      </c>
    </row>
    <row r="36" customFormat="false" ht="15" hidden="false" customHeight="false" outlineLevel="0" collapsed="false">
      <c r="A36" s="7" t="n">
        <v>35</v>
      </c>
      <c r="B36" s="7" t="s">
        <v>833</v>
      </c>
      <c r="C36" s="7" t="n">
        <v>16.5</v>
      </c>
      <c r="D36" s="8" t="n">
        <f aca="false">C36/SUM($C$2:$C$57)</f>
        <v>0.00166365863741316</v>
      </c>
      <c r="E36" s="8" t="n">
        <f aca="false">E35+D36</f>
        <v>0.990068462073625</v>
      </c>
      <c r="F36" s="7" t="str">
        <f aca="false">IF(E36&lt;=0.7,"A",IF(E36&lt;=0.9,"B","C"))</f>
        <v>C</v>
      </c>
      <c r="G36" s="7" t="n">
        <v>788</v>
      </c>
      <c r="H36" s="7" t="n">
        <v>50</v>
      </c>
    </row>
    <row r="37" customFormat="false" ht="15" hidden="false" customHeight="false" outlineLevel="0" collapsed="false">
      <c r="A37" s="7" t="n">
        <v>36</v>
      </c>
      <c r="B37" s="7" t="s">
        <v>834</v>
      </c>
      <c r="C37" s="7" t="n">
        <v>14.9</v>
      </c>
      <c r="D37" s="8" t="n">
        <f aca="false">C37/SUM($C$2:$C$57)</f>
        <v>0.00150233416348219</v>
      </c>
      <c r="E37" s="8" t="n">
        <f aca="false">E36+D37</f>
        <v>0.991570796237107</v>
      </c>
      <c r="F37" s="7" t="str">
        <f aca="false">IF(E37&lt;=0.7,"A",IF(E37&lt;=0.9,"B","C"))</f>
        <v>C</v>
      </c>
      <c r="G37" s="7" t="n">
        <v>358</v>
      </c>
      <c r="H37" s="7" t="n">
        <v>50</v>
      </c>
    </row>
    <row r="38" customFormat="false" ht="15" hidden="false" customHeight="false" outlineLevel="0" collapsed="false">
      <c r="A38" s="7" t="n">
        <v>37</v>
      </c>
      <c r="B38" s="7" t="s">
        <v>835</v>
      </c>
      <c r="C38" s="7" t="n">
        <v>12.7</v>
      </c>
      <c r="D38" s="8" t="n">
        <f aca="false">C38/SUM($C$2:$C$57)</f>
        <v>0.0012805130118271</v>
      </c>
      <c r="E38" s="8" t="n">
        <f aca="false">E37+D38</f>
        <v>0.992851309248934</v>
      </c>
      <c r="F38" s="7" t="str">
        <f aca="false">IF(E38&lt;=0.7,"A",IF(E38&lt;=0.9,"B","C"))</f>
        <v>C</v>
      </c>
      <c r="G38" s="7" t="n">
        <v>1502</v>
      </c>
      <c r="H38" s="7" t="n">
        <v>100</v>
      </c>
    </row>
    <row r="39" customFormat="false" ht="15" hidden="false" customHeight="false" outlineLevel="0" collapsed="false">
      <c r="A39" s="7" t="n">
        <v>38</v>
      </c>
      <c r="B39" s="7" t="s">
        <v>836</v>
      </c>
      <c r="C39" s="7" t="n">
        <v>10</v>
      </c>
      <c r="D39" s="8" t="n">
        <f aca="false">C39/SUM($C$2:$C$57)</f>
        <v>0.00100827796206858</v>
      </c>
      <c r="E39" s="8" t="n">
        <f aca="false">E38+D39</f>
        <v>0.993859587211003</v>
      </c>
      <c r="F39" s="7" t="str">
        <f aca="false">IF(E39&lt;=0.7,"A",IF(E39&lt;=0.9,"B","C"))</f>
        <v>C</v>
      </c>
      <c r="G39" s="7" t="n">
        <v>1377</v>
      </c>
      <c r="H39" s="7" t="n">
        <v>50</v>
      </c>
    </row>
    <row r="40" customFormat="false" ht="15" hidden="false" customHeight="false" outlineLevel="0" collapsed="false">
      <c r="A40" s="7" t="n">
        <v>39</v>
      </c>
      <c r="B40" s="7" t="s">
        <v>837</v>
      </c>
      <c r="C40" s="7" t="n">
        <v>8.9</v>
      </c>
      <c r="D40" s="8" t="n">
        <f aca="false">C40/SUM($C$2:$C$57)</f>
        <v>0.000897367386241039</v>
      </c>
      <c r="E40" s="8" t="n">
        <f aca="false">E39+D40</f>
        <v>0.994756954597244</v>
      </c>
      <c r="F40" s="7" t="str">
        <f aca="false">IF(E40&lt;=0.7,"A",IF(E40&lt;=0.9,"B","C"))</f>
        <v>C</v>
      </c>
      <c r="G40" s="7" t="n">
        <v>616</v>
      </c>
      <c r="H40" s="7" t="n">
        <v>50</v>
      </c>
    </row>
    <row r="41" customFormat="false" ht="15" hidden="false" customHeight="false" outlineLevel="0" collapsed="false">
      <c r="A41" s="7" t="n">
        <v>40</v>
      </c>
      <c r="B41" s="7" t="s">
        <v>838</v>
      </c>
      <c r="C41" s="7" t="n">
        <v>8.6</v>
      </c>
      <c r="D41" s="8" t="n">
        <f aca="false">C41/SUM($C$2:$C$57)</f>
        <v>0.000867119047378982</v>
      </c>
      <c r="E41" s="8" t="n">
        <f aca="false">E40+D41</f>
        <v>0.995624073644623</v>
      </c>
      <c r="F41" s="7" t="str">
        <f aca="false">IF(E41&lt;=0.7,"A",IF(E41&lt;=0.9,"B","C"))</f>
        <v>C</v>
      </c>
      <c r="G41" s="7" t="n">
        <v>781</v>
      </c>
      <c r="H41" s="7" t="n">
        <v>50</v>
      </c>
    </row>
    <row r="42" customFormat="false" ht="15" hidden="false" customHeight="false" outlineLevel="0" collapsed="false">
      <c r="A42" s="7" t="n">
        <v>41</v>
      </c>
      <c r="B42" s="7" t="s">
        <v>839</v>
      </c>
      <c r="C42" s="7" t="n">
        <v>6.2</v>
      </c>
      <c r="D42" s="8" t="n">
        <f aca="false">C42/SUM($C$2:$C$57)</f>
        <v>0.000625132336482522</v>
      </c>
      <c r="E42" s="8" t="n">
        <f aca="false">E41+D42</f>
        <v>0.996249205981105</v>
      </c>
      <c r="F42" s="7" t="str">
        <f aca="false">IF(E42&lt;=0.7,"A",IF(E42&lt;=0.9,"B","C"))</f>
        <v>C</v>
      </c>
      <c r="G42" s="7" t="n">
        <v>1246</v>
      </c>
      <c r="H42" s="7" t="n">
        <v>50</v>
      </c>
    </row>
    <row r="43" customFormat="false" ht="15" hidden="false" customHeight="false" outlineLevel="0" collapsed="false">
      <c r="A43" s="7" t="n">
        <v>42</v>
      </c>
      <c r="B43" s="7" t="s">
        <v>840</v>
      </c>
      <c r="C43" s="7" t="n">
        <v>5.9</v>
      </c>
      <c r="D43" s="8" t="n">
        <f aca="false">C43/SUM($C$2:$C$57)</f>
        <v>0.000594883997620464</v>
      </c>
      <c r="E43" s="8" t="n">
        <f aca="false">E42+D43</f>
        <v>0.996844089978726</v>
      </c>
      <c r="F43" s="7" t="str">
        <f aca="false">IF(E43&lt;=0.7,"A",IF(E43&lt;=0.9,"B","C"))</f>
        <v>C</v>
      </c>
      <c r="G43" s="7" t="n">
        <v>700</v>
      </c>
      <c r="H43" s="7" t="n">
        <v>50</v>
      </c>
    </row>
    <row r="44" customFormat="false" ht="15" hidden="false" customHeight="false" outlineLevel="0" collapsed="false">
      <c r="A44" s="7" t="n">
        <v>43</v>
      </c>
      <c r="B44" s="7" t="s">
        <v>841</v>
      </c>
      <c r="C44" s="7" t="n">
        <v>5.7</v>
      </c>
      <c r="D44" s="8" t="n">
        <f aca="false">C44/SUM($C$2:$C$57)</f>
        <v>0.000574718438379092</v>
      </c>
      <c r="E44" s="8" t="n">
        <f aca="false">E43+D44</f>
        <v>0.997418808417105</v>
      </c>
      <c r="F44" s="7" t="str">
        <f aca="false">IF(E44&lt;=0.7,"A",IF(E44&lt;=0.9,"B","C"))</f>
        <v>C</v>
      </c>
      <c r="G44" s="7" t="n">
        <v>446</v>
      </c>
      <c r="H44" s="7" t="n">
        <v>50</v>
      </c>
    </row>
    <row r="45" customFormat="false" ht="15" hidden="false" customHeight="false" outlineLevel="0" collapsed="false">
      <c r="A45" s="7" t="n">
        <v>44</v>
      </c>
      <c r="B45" s="7" t="s">
        <v>842</v>
      </c>
      <c r="C45" s="7" t="n">
        <v>5.4</v>
      </c>
      <c r="D45" s="8" t="n">
        <f aca="false">C45/SUM($C$2:$C$57)</f>
        <v>0.000544470099517035</v>
      </c>
      <c r="E45" s="8" t="n">
        <f aca="false">E44+D45</f>
        <v>0.997963278516622</v>
      </c>
      <c r="F45" s="7" t="str">
        <f aca="false">IF(E45&lt;=0.7,"A",IF(E45&lt;=0.9,"B","C"))</f>
        <v>C</v>
      </c>
      <c r="G45" s="7" t="n">
        <v>1042</v>
      </c>
      <c r="H45" s="7" t="n">
        <v>50</v>
      </c>
    </row>
    <row r="46" customFormat="false" ht="15" hidden="false" customHeight="false" outlineLevel="0" collapsed="false">
      <c r="A46" s="7" t="n">
        <v>45</v>
      </c>
      <c r="B46" s="7" t="s">
        <v>843</v>
      </c>
      <c r="C46" s="7" t="n">
        <v>5.4</v>
      </c>
      <c r="D46" s="8" t="n">
        <f aca="false">C46/SUM($C$2:$C$57)</f>
        <v>0.000544470099517035</v>
      </c>
      <c r="E46" s="8" t="n">
        <f aca="false">E45+D46</f>
        <v>0.998507748616139</v>
      </c>
      <c r="F46" s="7" t="str">
        <f aca="false">IF(E46&lt;=0.7,"A",IF(E46&lt;=0.9,"B","C"))</f>
        <v>C</v>
      </c>
      <c r="G46" s="7" t="n">
        <v>880</v>
      </c>
      <c r="H46" s="7" t="n">
        <v>50</v>
      </c>
    </row>
    <row r="47" customFormat="false" ht="15" hidden="false" customHeight="false" outlineLevel="0" collapsed="false">
      <c r="A47" s="7" t="n">
        <v>46</v>
      </c>
      <c r="B47" s="7" t="s">
        <v>844</v>
      </c>
      <c r="C47" s="7" t="n">
        <v>4.6</v>
      </c>
      <c r="D47" s="8" t="n">
        <f aca="false">C47/SUM($C$2:$C$57)</f>
        <v>0.000463807862551548</v>
      </c>
      <c r="E47" s="8" t="n">
        <f aca="false">E46+D47</f>
        <v>0.998971556478691</v>
      </c>
      <c r="F47" s="7" t="str">
        <f aca="false">IF(E47&lt;=0.7,"A",IF(E47&lt;=0.9,"B","C"))</f>
        <v>C</v>
      </c>
      <c r="G47" s="7" t="n">
        <v>1168</v>
      </c>
      <c r="H47" s="7" t="n">
        <v>50</v>
      </c>
    </row>
    <row r="48" customFormat="false" ht="15" hidden="false" customHeight="false" outlineLevel="0" collapsed="false">
      <c r="A48" s="7" t="n">
        <v>47</v>
      </c>
      <c r="B48" s="7" t="s">
        <v>845</v>
      </c>
      <c r="C48" s="7" t="n">
        <v>4.1</v>
      </c>
      <c r="D48" s="8" t="n">
        <f aca="false">C48/SUM($C$2:$C$57)</f>
        <v>0.000413393964448119</v>
      </c>
      <c r="E48" s="8" t="n">
        <f aca="false">E47+D48</f>
        <v>0.999384950443139</v>
      </c>
      <c r="F48" s="7" t="str">
        <f aca="false">IF(E48&lt;=0.7,"A",IF(E48&lt;=0.9,"B","C"))</f>
        <v>C</v>
      </c>
      <c r="G48" s="7" t="n">
        <v>103</v>
      </c>
      <c r="H48" s="7" t="n">
        <v>100</v>
      </c>
    </row>
    <row r="49" customFormat="false" ht="15" hidden="false" customHeight="false" outlineLevel="0" collapsed="false">
      <c r="A49" s="7" t="n">
        <v>48</v>
      </c>
      <c r="B49" s="7" t="s">
        <v>846</v>
      </c>
      <c r="C49" s="7" t="n">
        <v>1.4</v>
      </c>
      <c r="D49" s="8" t="n">
        <f aca="false">C49/SUM($C$2:$C$57)</f>
        <v>0.000141158914689602</v>
      </c>
      <c r="E49" s="8" t="n">
        <f aca="false">E48+D49</f>
        <v>0.999526109357828</v>
      </c>
      <c r="F49" s="7" t="str">
        <f aca="false">IF(E49&lt;=0.7,"A",IF(E49&lt;=0.9,"B","C"))</f>
        <v>C</v>
      </c>
      <c r="G49" s="7" t="n">
        <v>199</v>
      </c>
      <c r="H49" s="7" t="n">
        <v>50</v>
      </c>
    </row>
    <row r="50" customFormat="false" ht="15" hidden="false" customHeight="false" outlineLevel="0" collapsed="false">
      <c r="A50" s="7" t="n">
        <v>49</v>
      </c>
      <c r="B50" s="7" t="s">
        <v>847</v>
      </c>
      <c r="C50" s="7" t="n">
        <v>1.1</v>
      </c>
      <c r="D50" s="8" t="n">
        <f aca="false">C50/SUM($C$2:$C$57)</f>
        <v>0.000110910575827544</v>
      </c>
      <c r="E50" s="8" t="n">
        <f aca="false">E49+D50</f>
        <v>0.999637019933656</v>
      </c>
      <c r="F50" s="7" t="str">
        <f aca="false">IF(E50&lt;=0.7,"A",IF(E50&lt;=0.9,"B","C"))</f>
        <v>C</v>
      </c>
      <c r="G50" s="7" t="n">
        <v>509</v>
      </c>
      <c r="H50" s="7" t="n">
        <v>50</v>
      </c>
    </row>
    <row r="51" customFormat="false" ht="15" hidden="false" customHeight="false" outlineLevel="0" collapsed="false">
      <c r="A51" s="7" t="n">
        <v>50</v>
      </c>
      <c r="B51" s="7" t="s">
        <v>848</v>
      </c>
      <c r="C51" s="7" t="n">
        <v>1.1</v>
      </c>
      <c r="D51" s="8" t="n">
        <f aca="false">C51/SUM($C$2:$C$57)</f>
        <v>0.000110910575827544</v>
      </c>
      <c r="E51" s="8" t="n">
        <f aca="false">E50+D51</f>
        <v>0.999747930509483</v>
      </c>
      <c r="F51" s="7" t="str">
        <f aca="false">IF(E51&lt;=0.7,"A",IF(E51&lt;=0.9,"B","C"))</f>
        <v>C</v>
      </c>
      <c r="G51" s="7" t="n">
        <v>495</v>
      </c>
      <c r="H51" s="7" t="n">
        <v>0</v>
      </c>
    </row>
    <row r="52" customFormat="false" ht="15" hidden="false" customHeight="false" outlineLevel="0" collapsed="false">
      <c r="A52" s="7" t="n">
        <v>51</v>
      </c>
      <c r="B52" s="7" t="s">
        <v>849</v>
      </c>
      <c r="C52" s="7" t="n">
        <v>0.8</v>
      </c>
      <c r="D52" s="8" t="n">
        <f aca="false">C52/SUM($C$2:$C$57)</f>
        <v>8.06622369654867E-005</v>
      </c>
      <c r="E52" s="8" t="n">
        <f aca="false">E51+D52</f>
        <v>0.999828592746449</v>
      </c>
      <c r="F52" s="7" t="str">
        <f aca="false">IF(E52&lt;=0.7,"A",IF(E52&lt;=0.9,"B","C"))</f>
        <v>C</v>
      </c>
      <c r="G52" s="7" t="n">
        <v>206</v>
      </c>
      <c r="H52" s="7" t="n">
        <v>0</v>
      </c>
    </row>
    <row r="53" customFormat="false" ht="15" hidden="false" customHeight="false" outlineLevel="0" collapsed="false">
      <c r="A53" s="7" t="n">
        <v>52</v>
      </c>
      <c r="B53" s="7" t="s">
        <v>850</v>
      </c>
      <c r="C53" s="7" t="n">
        <v>0.5</v>
      </c>
      <c r="D53" s="8" t="n">
        <f aca="false">C53/SUM($C$2:$C$57)</f>
        <v>5.04138981034292E-005</v>
      </c>
      <c r="E53" s="8" t="n">
        <f aca="false">E52+D53</f>
        <v>0.999879006644552</v>
      </c>
      <c r="F53" s="7" t="str">
        <f aca="false">IF(E53&lt;=0.7,"A",IF(E53&lt;=0.9,"B","C"))</f>
        <v>C</v>
      </c>
      <c r="G53" s="7" t="n">
        <v>493</v>
      </c>
      <c r="H53" s="7" t="n">
        <v>0</v>
      </c>
    </row>
    <row r="54" customFormat="false" ht="15" hidden="false" customHeight="false" outlineLevel="0" collapsed="false">
      <c r="A54" s="7" t="n">
        <v>53</v>
      </c>
      <c r="B54" s="7" t="s">
        <v>851</v>
      </c>
      <c r="C54" s="7" t="n">
        <v>0.3</v>
      </c>
      <c r="D54" s="8" t="n">
        <f aca="false">C54/SUM($C$2:$C$57)</f>
        <v>3.02483388620575E-005</v>
      </c>
      <c r="E54" s="8" t="n">
        <f aca="false">E53+D54</f>
        <v>0.999909254983414</v>
      </c>
      <c r="F54" s="7" t="str">
        <f aca="false">IF(E54&lt;=0.7,"A",IF(E54&lt;=0.9,"B","C"))</f>
        <v>C</v>
      </c>
      <c r="G54" s="7" t="n">
        <v>1252</v>
      </c>
      <c r="H54" s="7" t="n">
        <v>50</v>
      </c>
    </row>
    <row r="55" customFormat="false" ht="15" hidden="false" customHeight="false" outlineLevel="0" collapsed="false">
      <c r="A55" s="7" t="n">
        <v>54</v>
      </c>
      <c r="B55" s="7" t="s">
        <v>852</v>
      </c>
      <c r="C55" s="7" t="n">
        <v>0.3</v>
      </c>
      <c r="D55" s="8" t="n">
        <f aca="false">C55/SUM($C$2:$C$57)</f>
        <v>3.02483388620575E-005</v>
      </c>
      <c r="E55" s="8" t="n">
        <f aca="false">E54+D55</f>
        <v>0.999939503322276</v>
      </c>
      <c r="F55" s="7" t="str">
        <f aca="false">IF(E55&lt;=0.7,"A",IF(E55&lt;=0.9,"B","C"))</f>
        <v>C</v>
      </c>
      <c r="G55" s="7" t="n">
        <v>1034</v>
      </c>
      <c r="H55" s="7" t="n">
        <v>50</v>
      </c>
    </row>
    <row r="56" customFormat="false" ht="15" hidden="false" customHeight="false" outlineLevel="0" collapsed="false">
      <c r="A56" s="7" t="n">
        <v>55</v>
      </c>
      <c r="B56" s="7" t="s">
        <v>853</v>
      </c>
      <c r="C56" s="7" t="n">
        <v>0.3</v>
      </c>
      <c r="D56" s="8" t="n">
        <f aca="false">C56/SUM($C$2:$C$57)</f>
        <v>3.02483388620575E-005</v>
      </c>
      <c r="E56" s="8" t="n">
        <f aca="false">E55+D56</f>
        <v>0.999969751661138</v>
      </c>
      <c r="F56" s="7" t="str">
        <f aca="false">IF(E56&lt;=0.7,"A",IF(E56&lt;=0.9,"B","C"))</f>
        <v>C</v>
      </c>
      <c r="G56" s="7" t="n">
        <v>1575</v>
      </c>
      <c r="H56" s="7" t="n">
        <v>50</v>
      </c>
    </row>
    <row r="57" customFormat="false" ht="15" hidden="false" customHeight="false" outlineLevel="0" collapsed="false">
      <c r="A57" s="7" t="n">
        <v>56</v>
      </c>
      <c r="B57" s="7" t="s">
        <v>854</v>
      </c>
      <c r="C57" s="7" t="n">
        <v>0.3</v>
      </c>
      <c r="D57" s="8" t="n">
        <f aca="false">C57/SUM($C$2:$C$57)</f>
        <v>3.02483388620575E-005</v>
      </c>
      <c r="E57" s="8" t="n">
        <f aca="false">E56+D57</f>
        <v>1</v>
      </c>
      <c r="F57" s="7" t="str">
        <f aca="false">IF(E57&lt;=0.7,"A",IF(E57&lt;=0.9,"B","C"))</f>
        <v>C</v>
      </c>
      <c r="G57" s="7" t="n">
        <v>294</v>
      </c>
      <c r="H57" s="7" t="n">
        <v>0</v>
      </c>
    </row>
    <row r="58" customFormat="false" ht="15" hidden="false" customHeight="false" outlineLevel="0" collapsed="false">
      <c r="A58" s="9" t="n">
        <v>57</v>
      </c>
      <c r="B58" s="9" t="s">
        <v>855</v>
      </c>
      <c r="C58" s="9" t="n">
        <v>0</v>
      </c>
      <c r="D58" s="9"/>
      <c r="E58" s="9"/>
      <c r="F58" s="9" t="s">
        <v>196</v>
      </c>
      <c r="G58" s="9" t="n">
        <v>247</v>
      </c>
      <c r="H58" s="9" t="n">
        <v>0</v>
      </c>
    </row>
    <row r="59" customFormat="false" ht="15" hidden="false" customHeight="false" outlineLevel="0" collapsed="false">
      <c r="A59" s="9" t="n">
        <v>58</v>
      </c>
      <c r="B59" s="9" t="s">
        <v>856</v>
      </c>
      <c r="C59" s="9" t="n">
        <v>0</v>
      </c>
      <c r="D59" s="9"/>
      <c r="E59" s="9"/>
      <c r="F59" s="9" t="s">
        <v>196</v>
      </c>
      <c r="G59" s="9" t="n">
        <v>1000</v>
      </c>
      <c r="H59" s="9" t="n">
        <v>0</v>
      </c>
    </row>
    <row r="60" customFormat="false" ht="15" hidden="false" customHeight="false" outlineLevel="0" collapsed="false">
      <c r="A60" s="9" t="n">
        <v>59</v>
      </c>
      <c r="B60" s="9" t="s">
        <v>857</v>
      </c>
      <c r="C60" s="9" t="n">
        <v>0</v>
      </c>
      <c r="D60" s="9"/>
      <c r="E60" s="9"/>
      <c r="F60" s="9" t="s">
        <v>196</v>
      </c>
      <c r="G60" s="9" t="n">
        <v>3000</v>
      </c>
      <c r="H60" s="9" t="n">
        <v>0</v>
      </c>
    </row>
    <row r="61" customFormat="false" ht="15" hidden="false" customHeight="false" outlineLevel="0" collapsed="false">
      <c r="A61" s="9" t="n">
        <v>60</v>
      </c>
      <c r="B61" s="9" t="s">
        <v>858</v>
      </c>
      <c r="C61" s="9" t="n">
        <v>0</v>
      </c>
      <c r="D61" s="9"/>
      <c r="E61" s="9"/>
      <c r="F61" s="9" t="s">
        <v>196</v>
      </c>
      <c r="G61" s="9" t="n">
        <v>279</v>
      </c>
      <c r="H61" s="9" t="n">
        <v>50</v>
      </c>
    </row>
    <row r="62" customFormat="false" ht="15" hidden="false" customHeight="false" outlineLevel="0" collapsed="false">
      <c r="A62" s="9" t="n">
        <v>61</v>
      </c>
      <c r="B62" s="9" t="s">
        <v>859</v>
      </c>
      <c r="C62" s="9" t="n">
        <v>0</v>
      </c>
      <c r="D62" s="9"/>
      <c r="E62" s="9"/>
      <c r="F62" s="9" t="s">
        <v>196</v>
      </c>
      <c r="G62" s="9" t="n">
        <v>667</v>
      </c>
      <c r="H62" s="9" t="n">
        <v>50</v>
      </c>
    </row>
    <row r="63" customFormat="false" ht="15" hidden="false" customHeight="false" outlineLevel="0" collapsed="false">
      <c r="A63" s="9" t="n">
        <v>62</v>
      </c>
      <c r="B63" s="9" t="s">
        <v>860</v>
      </c>
      <c r="C63" s="9" t="n">
        <v>0</v>
      </c>
      <c r="D63" s="9"/>
      <c r="E63" s="9"/>
      <c r="F63" s="9" t="s">
        <v>196</v>
      </c>
      <c r="G63" s="9" t="n">
        <v>718</v>
      </c>
      <c r="H63" s="9" t="n">
        <v>0</v>
      </c>
    </row>
    <row r="64" customFormat="false" ht="15" hidden="false" customHeight="false" outlineLevel="0" collapsed="false">
      <c r="A64" s="9" t="n">
        <v>63</v>
      </c>
      <c r="B64" s="9" t="s">
        <v>861</v>
      </c>
      <c r="C64" s="9" t="n">
        <v>0</v>
      </c>
      <c r="D64" s="9"/>
      <c r="E64" s="9"/>
      <c r="F64" s="9" t="s">
        <v>196</v>
      </c>
      <c r="G64" s="9" t="n">
        <v>991</v>
      </c>
      <c r="H64" s="9" t="n">
        <v>50</v>
      </c>
    </row>
    <row r="65" customFormat="false" ht="15" hidden="false" customHeight="false" outlineLevel="0" collapsed="false">
      <c r="A65" s="9" t="n">
        <v>64</v>
      </c>
      <c r="B65" s="9" t="s">
        <v>862</v>
      </c>
      <c r="C65" s="9" t="n">
        <v>0</v>
      </c>
      <c r="D65" s="9"/>
      <c r="E65" s="9"/>
      <c r="F65" s="9" t="s">
        <v>196</v>
      </c>
      <c r="G65" s="9" t="n">
        <v>951</v>
      </c>
      <c r="H65" s="9" t="n">
        <v>0</v>
      </c>
    </row>
  </sheetData>
  <conditionalFormatting sqref="F2:F65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863</v>
      </c>
      <c r="C2" s="7" t="n">
        <v>1650.8</v>
      </c>
      <c r="D2" s="8" t="n">
        <f aca="false">C2/SUM($C$2:$C$38)</f>
        <v>0.335521635739111</v>
      </c>
      <c r="E2" s="8" t="n">
        <f aca="false">D2</f>
        <v>0.335521635739111</v>
      </c>
      <c r="F2" s="7" t="str">
        <f aca="false">IF(E2&lt;=0.7,"A",IF(E2&lt;=0.9,"B","C"))</f>
        <v>A</v>
      </c>
      <c r="G2" s="7" t="n">
        <v>608</v>
      </c>
      <c r="H2" s="7" t="n">
        <v>3150</v>
      </c>
    </row>
    <row r="3" customFormat="false" ht="15" hidden="false" customHeight="false" outlineLevel="0" collapsed="false">
      <c r="A3" s="7" t="n">
        <v>2</v>
      </c>
      <c r="B3" s="7" t="s">
        <v>864</v>
      </c>
      <c r="C3" s="7" t="n">
        <v>842.4</v>
      </c>
      <c r="D3" s="8" t="n">
        <f aca="false">C3/SUM($C$2:$C$38)</f>
        <v>0.171216032194468</v>
      </c>
      <c r="E3" s="8" t="n">
        <f aca="false">E2+D3</f>
        <v>0.506737667933579</v>
      </c>
      <c r="F3" s="7" t="str">
        <f aca="false">IF(E3&lt;=0.7,"A",IF(E3&lt;=0.9,"B","C"))</f>
        <v>A</v>
      </c>
      <c r="G3" s="7" t="n">
        <v>866</v>
      </c>
      <c r="H3" s="7" t="n">
        <v>2000</v>
      </c>
    </row>
    <row r="4" customFormat="false" ht="15" hidden="false" customHeight="false" outlineLevel="0" collapsed="false">
      <c r="A4" s="7" t="n">
        <v>3</v>
      </c>
      <c r="B4" s="7" t="s">
        <v>865</v>
      </c>
      <c r="C4" s="7" t="n">
        <v>579.7</v>
      </c>
      <c r="D4" s="8" t="n">
        <f aca="false">C4/SUM($C$2:$C$38)</f>
        <v>0.117822808479502</v>
      </c>
      <c r="E4" s="8" t="n">
        <f aca="false">E3+D4</f>
        <v>0.624560476413081</v>
      </c>
      <c r="F4" s="7" t="str">
        <f aca="false">IF(E4&lt;=0.7,"A",IF(E4&lt;=0.9,"B","C"))</f>
        <v>A</v>
      </c>
      <c r="G4" s="7" t="n">
        <v>1625</v>
      </c>
      <c r="H4" s="7" t="n">
        <v>1000</v>
      </c>
    </row>
    <row r="5" customFormat="false" ht="15" hidden="false" customHeight="false" outlineLevel="0" collapsed="false">
      <c r="A5" s="7" t="n">
        <v>4</v>
      </c>
      <c r="B5" s="7" t="s">
        <v>866</v>
      </c>
      <c r="C5" s="7" t="n">
        <v>529.7</v>
      </c>
      <c r="D5" s="8" t="n">
        <f aca="false">C5/SUM($C$2:$C$38)</f>
        <v>0.107660413406232</v>
      </c>
      <c r="E5" s="8" t="n">
        <f aca="false">E4+D5</f>
        <v>0.732220889819313</v>
      </c>
      <c r="F5" s="7" t="str">
        <f aca="false">IF(E5&lt;=0.7,"A",IF(E5&lt;=0.9,"B","C"))</f>
        <v>B</v>
      </c>
      <c r="G5" s="7" t="n">
        <v>1252</v>
      </c>
      <c r="H5" s="7" t="n">
        <v>1000</v>
      </c>
    </row>
    <row r="6" customFormat="false" ht="15" hidden="false" customHeight="false" outlineLevel="0" collapsed="false">
      <c r="A6" s="7" t="n">
        <v>5</v>
      </c>
      <c r="B6" s="7" t="s">
        <v>867</v>
      </c>
      <c r="C6" s="7" t="n">
        <v>200.5</v>
      </c>
      <c r="D6" s="8" t="n">
        <f aca="false">C6/SUM($C$2:$C$38)</f>
        <v>0.0407512042438162</v>
      </c>
      <c r="E6" s="8" t="n">
        <f aca="false">E5+D6</f>
        <v>0.772972094063129</v>
      </c>
      <c r="F6" s="7" t="str">
        <f aca="false">IF(E6&lt;=0.7,"A",IF(E6&lt;=0.9,"B","C"))</f>
        <v>B</v>
      </c>
      <c r="G6" s="7" t="n">
        <v>599</v>
      </c>
      <c r="H6" s="7" t="n">
        <v>1000</v>
      </c>
    </row>
    <row r="7" customFormat="false" ht="15" hidden="false" customHeight="false" outlineLevel="0" collapsed="false">
      <c r="A7" s="7" t="n">
        <v>6</v>
      </c>
      <c r="B7" s="7" t="s">
        <v>868</v>
      </c>
      <c r="C7" s="7" t="n">
        <v>173.8</v>
      </c>
      <c r="D7" s="8" t="n">
        <f aca="false">C7/SUM($C$2:$C$38)</f>
        <v>0.0353244852746895</v>
      </c>
      <c r="E7" s="8" t="n">
        <f aca="false">E6+D7</f>
        <v>0.808296579337818</v>
      </c>
      <c r="F7" s="7" t="str">
        <f aca="false">IF(E7&lt;=0.7,"A",IF(E7&lt;=0.9,"B","C"))</f>
        <v>B</v>
      </c>
      <c r="G7" s="7" t="n">
        <v>1049</v>
      </c>
      <c r="H7" s="7" t="n">
        <v>600</v>
      </c>
    </row>
    <row r="8" customFormat="false" ht="15" hidden="false" customHeight="false" outlineLevel="0" collapsed="false">
      <c r="A8" s="7" t="n">
        <v>7</v>
      </c>
      <c r="B8" s="7" t="s">
        <v>869</v>
      </c>
      <c r="C8" s="7" t="n">
        <v>163.2</v>
      </c>
      <c r="D8" s="8" t="n">
        <f aca="false">C8/SUM($C$2:$C$38)</f>
        <v>0.0331700575191561</v>
      </c>
      <c r="E8" s="8" t="n">
        <f aca="false">E7+D8</f>
        <v>0.841466636856974</v>
      </c>
      <c r="F8" s="7" t="str">
        <f aca="false">IF(E8&lt;=0.7,"A",IF(E8&lt;=0.9,"B","C"))</f>
        <v>B</v>
      </c>
      <c r="G8" s="7" t="n">
        <v>154</v>
      </c>
      <c r="H8" s="7" t="n">
        <v>150</v>
      </c>
    </row>
    <row r="9" customFormat="false" ht="15" hidden="false" customHeight="false" outlineLevel="0" collapsed="false">
      <c r="A9" s="7" t="n">
        <v>8</v>
      </c>
      <c r="B9" s="7" t="s">
        <v>870</v>
      </c>
      <c r="C9" s="7" t="n">
        <v>104.6</v>
      </c>
      <c r="D9" s="8" t="n">
        <f aca="false">C9/SUM($C$2:$C$38)</f>
        <v>0.0212597304932827</v>
      </c>
      <c r="E9" s="8" t="n">
        <f aca="false">E8+D9</f>
        <v>0.862726367350257</v>
      </c>
      <c r="F9" s="7" t="str">
        <f aca="false">IF(E9&lt;=0.7,"A",IF(E9&lt;=0.9,"B","C"))</f>
        <v>B</v>
      </c>
      <c r="G9" s="7" t="n">
        <v>1382</v>
      </c>
      <c r="H9" s="7" t="n">
        <v>100</v>
      </c>
    </row>
    <row r="10" customFormat="false" ht="15" hidden="false" customHeight="false" outlineLevel="0" collapsed="false">
      <c r="A10" s="7" t="n">
        <v>9</v>
      </c>
      <c r="B10" s="7" t="s">
        <v>871</v>
      </c>
      <c r="C10" s="7" t="n">
        <v>81.9</v>
      </c>
      <c r="D10" s="8" t="n">
        <f aca="false">C10/SUM($C$2:$C$38)</f>
        <v>0.0166460031300177</v>
      </c>
      <c r="E10" s="8" t="n">
        <f aca="false">E9+D10</f>
        <v>0.879372370480275</v>
      </c>
      <c r="F10" s="7" t="str">
        <f aca="false">IF(E10&lt;=0.7,"A",IF(E10&lt;=0.9,"B","C"))</f>
        <v>B</v>
      </c>
      <c r="G10" s="7" t="n">
        <v>567</v>
      </c>
      <c r="H10" s="7" t="n">
        <v>150</v>
      </c>
    </row>
    <row r="11" customFormat="false" ht="15" hidden="false" customHeight="false" outlineLevel="0" collapsed="false">
      <c r="A11" s="7" t="n">
        <v>10</v>
      </c>
      <c r="B11" s="7" t="s">
        <v>872</v>
      </c>
      <c r="C11" s="7" t="n">
        <v>77</v>
      </c>
      <c r="D11" s="8" t="n">
        <f aca="false">C11/SUM($C$2:$C$38)</f>
        <v>0.0156500884128371</v>
      </c>
      <c r="E11" s="8" t="n">
        <f aca="false">E10+D11</f>
        <v>0.895022458893112</v>
      </c>
      <c r="F11" s="7" t="str">
        <f aca="false">IF(E11&lt;=0.7,"A",IF(E11&lt;=0.9,"B","C"))</f>
        <v>B</v>
      </c>
      <c r="G11" s="7" t="n">
        <v>2088</v>
      </c>
      <c r="H11" s="7" t="n">
        <v>50</v>
      </c>
    </row>
    <row r="12" customFormat="false" ht="15" hidden="false" customHeight="false" outlineLevel="0" collapsed="false">
      <c r="A12" s="7" t="n">
        <v>11</v>
      </c>
      <c r="B12" s="7" t="s">
        <v>873</v>
      </c>
      <c r="C12" s="7" t="n">
        <v>61.9</v>
      </c>
      <c r="D12" s="8" t="n">
        <f aca="false">C12/SUM($C$2:$C$38)</f>
        <v>0.0125810451007093</v>
      </c>
      <c r="E12" s="8" t="n">
        <f aca="false">E11+D12</f>
        <v>0.907603503993821</v>
      </c>
      <c r="F12" s="7" t="str">
        <f aca="false">IF(E12&lt;=0.7,"A",IF(E12&lt;=0.9,"B","C"))</f>
        <v>C</v>
      </c>
      <c r="G12" s="7" t="n">
        <v>594</v>
      </c>
      <c r="H12" s="7" t="n">
        <v>50</v>
      </c>
    </row>
    <row r="13" customFormat="false" ht="15" hidden="false" customHeight="false" outlineLevel="0" collapsed="false">
      <c r="A13" s="7" t="n">
        <v>12</v>
      </c>
      <c r="B13" s="7" t="s">
        <v>874</v>
      </c>
      <c r="C13" s="7" t="n">
        <v>60.5</v>
      </c>
      <c r="D13" s="8" t="n">
        <f aca="false">C13/SUM($C$2:$C$38)</f>
        <v>0.0122964980386578</v>
      </c>
      <c r="E13" s="8" t="n">
        <f aca="false">E12+D13</f>
        <v>0.919900002032479</v>
      </c>
      <c r="F13" s="7" t="str">
        <f aca="false">IF(E13&lt;=0.7,"A",IF(E13&lt;=0.9,"B","C"))</f>
        <v>C</v>
      </c>
      <c r="G13" s="7" t="n">
        <v>699</v>
      </c>
      <c r="H13" s="7" t="n">
        <v>50</v>
      </c>
    </row>
    <row r="14" customFormat="false" ht="15" hidden="false" customHeight="false" outlineLevel="0" collapsed="false">
      <c r="A14" s="7" t="n">
        <v>13</v>
      </c>
      <c r="B14" s="7" t="s">
        <v>875</v>
      </c>
      <c r="C14" s="7" t="n">
        <v>47</v>
      </c>
      <c r="D14" s="8" t="n">
        <f aca="false">C14/SUM($C$2:$C$38)</f>
        <v>0.00955265136887462</v>
      </c>
      <c r="E14" s="8" t="n">
        <f aca="false">E13+D14</f>
        <v>0.929452653401354</v>
      </c>
      <c r="F14" s="7" t="str">
        <f aca="false">IF(E14&lt;=0.7,"A",IF(E14&lt;=0.9,"B","C"))</f>
        <v>C</v>
      </c>
      <c r="G14" s="7" t="n">
        <v>1177</v>
      </c>
      <c r="H14" s="7" t="n">
        <v>50</v>
      </c>
    </row>
    <row r="15" customFormat="false" ht="15" hidden="false" customHeight="false" outlineLevel="0" collapsed="false">
      <c r="A15" s="7" t="n">
        <v>14</v>
      </c>
      <c r="B15" s="7" t="s">
        <v>876</v>
      </c>
      <c r="C15" s="7" t="n">
        <v>46.8</v>
      </c>
      <c r="D15" s="8" t="n">
        <f aca="false">C15/SUM($C$2:$C$38)</f>
        <v>0.00951200178858153</v>
      </c>
      <c r="E15" s="8" t="n">
        <f aca="false">E14+D15</f>
        <v>0.938964655189935</v>
      </c>
      <c r="F15" s="7" t="str">
        <f aca="false">IF(E15&lt;=0.7,"A",IF(E15&lt;=0.9,"B","C"))</f>
        <v>C</v>
      </c>
      <c r="G15" s="7" t="n">
        <v>599</v>
      </c>
      <c r="H15" s="7" t="n">
        <v>50</v>
      </c>
    </row>
    <row r="16" customFormat="false" ht="15" hidden="false" customHeight="false" outlineLevel="0" collapsed="false">
      <c r="A16" s="7" t="n">
        <v>15</v>
      </c>
      <c r="B16" s="7" t="s">
        <v>877</v>
      </c>
      <c r="C16" s="7" t="n">
        <v>46.5</v>
      </c>
      <c r="D16" s="8" t="n">
        <f aca="false">C16/SUM($C$2:$C$38)</f>
        <v>0.00945102741814191</v>
      </c>
      <c r="E16" s="8" t="n">
        <f aca="false">E15+D16</f>
        <v>0.948415682608077</v>
      </c>
      <c r="F16" s="7" t="str">
        <f aca="false">IF(E16&lt;=0.7,"A",IF(E16&lt;=0.9,"B","C"))</f>
        <v>C</v>
      </c>
      <c r="G16" s="7" t="n">
        <v>168</v>
      </c>
      <c r="H16" s="7" t="n">
        <v>150</v>
      </c>
    </row>
    <row r="17" customFormat="false" ht="15" hidden="false" customHeight="false" outlineLevel="0" collapsed="false">
      <c r="A17" s="7" t="n">
        <v>16</v>
      </c>
      <c r="B17" s="7" t="s">
        <v>878</v>
      </c>
      <c r="C17" s="7" t="n">
        <v>42.2</v>
      </c>
      <c r="D17" s="8" t="n">
        <f aca="false">C17/SUM($C$2:$C$38)</f>
        <v>0.00857706144184061</v>
      </c>
      <c r="E17" s="8" t="n">
        <f aca="false">E16+D17</f>
        <v>0.956992744049918</v>
      </c>
      <c r="F17" s="7" t="str">
        <f aca="false">IF(E17&lt;=0.7,"A",IF(E17&lt;=0.9,"B","C"))</f>
        <v>C</v>
      </c>
      <c r="G17" s="7" t="n">
        <v>189</v>
      </c>
      <c r="H17" s="7" t="n">
        <v>50</v>
      </c>
    </row>
    <row r="18" customFormat="false" ht="15" hidden="false" customHeight="false" outlineLevel="0" collapsed="false">
      <c r="A18" s="7" t="n">
        <v>17</v>
      </c>
      <c r="B18" s="7" t="s">
        <v>879</v>
      </c>
      <c r="C18" s="7" t="n">
        <v>34.6</v>
      </c>
      <c r="D18" s="8" t="n">
        <f aca="false">C18/SUM($C$2:$C$38)</f>
        <v>0.00703237739070344</v>
      </c>
      <c r="E18" s="8" t="n">
        <f aca="false">E17+D18</f>
        <v>0.964025121440621</v>
      </c>
      <c r="F18" s="7" t="str">
        <f aca="false">IF(E18&lt;=0.7,"A",IF(E18&lt;=0.9,"B","C"))</f>
        <v>C</v>
      </c>
      <c r="G18" s="7" t="n">
        <v>99</v>
      </c>
      <c r="H18" s="7" t="n">
        <v>50</v>
      </c>
    </row>
    <row r="19" customFormat="false" ht="15" hidden="false" customHeight="false" outlineLevel="0" collapsed="false">
      <c r="A19" s="7" t="n">
        <v>18</v>
      </c>
      <c r="B19" s="7" t="s">
        <v>880</v>
      </c>
      <c r="C19" s="7" t="n">
        <v>34.3</v>
      </c>
      <c r="D19" s="8" t="n">
        <f aca="false">C19/SUM($C$2:$C$38)</f>
        <v>0.00697140302026382</v>
      </c>
      <c r="E19" s="8" t="n">
        <f aca="false">E18+D19</f>
        <v>0.970996524460885</v>
      </c>
      <c r="F19" s="7" t="str">
        <f aca="false">IF(E19&lt;=0.7,"A",IF(E19&lt;=0.9,"B","C"))</f>
        <v>C</v>
      </c>
      <c r="G19" s="7" t="n">
        <v>396</v>
      </c>
      <c r="H19" s="7" t="n">
        <v>100</v>
      </c>
    </row>
    <row r="20" customFormat="false" ht="15" hidden="false" customHeight="false" outlineLevel="0" collapsed="false">
      <c r="A20" s="7" t="n">
        <v>19</v>
      </c>
      <c r="B20" s="7" t="s">
        <v>881</v>
      </c>
      <c r="C20" s="7" t="n">
        <v>30.3</v>
      </c>
      <c r="D20" s="8" t="n">
        <f aca="false">C20/SUM($C$2:$C$38)</f>
        <v>0.00615841141440215</v>
      </c>
      <c r="E20" s="8" t="n">
        <f aca="false">E19+D20</f>
        <v>0.977154935875287</v>
      </c>
      <c r="F20" s="7" t="str">
        <f aca="false">IF(E20&lt;=0.7,"A",IF(E20&lt;=0.9,"B","C"))</f>
        <v>C</v>
      </c>
      <c r="G20" s="7" t="n">
        <v>713</v>
      </c>
      <c r="H20" s="7" t="n">
        <v>50</v>
      </c>
    </row>
    <row r="21" customFormat="false" ht="15" hidden="false" customHeight="false" outlineLevel="0" collapsed="false">
      <c r="A21" s="7" t="n">
        <v>20</v>
      </c>
      <c r="B21" s="7" t="s">
        <v>882</v>
      </c>
      <c r="C21" s="7" t="n">
        <v>28.4</v>
      </c>
      <c r="D21" s="8" t="n">
        <f aca="false">C21/SUM($C$2:$C$38)</f>
        <v>0.00577224040161785</v>
      </c>
      <c r="E21" s="8" t="n">
        <f aca="false">E20+D21</f>
        <v>0.982927176276905</v>
      </c>
      <c r="F21" s="7" t="str">
        <f aca="false">IF(E21&lt;=0.7,"A",IF(E21&lt;=0.9,"B","C"))</f>
        <v>C</v>
      </c>
      <c r="G21" s="7" t="n">
        <v>241</v>
      </c>
      <c r="H21" s="7" t="n">
        <v>50</v>
      </c>
    </row>
    <row r="22" customFormat="false" ht="15" hidden="false" customHeight="false" outlineLevel="0" collapsed="false">
      <c r="A22" s="7" t="n">
        <v>21</v>
      </c>
      <c r="B22" s="7" t="s">
        <v>883</v>
      </c>
      <c r="C22" s="7" t="n">
        <v>17.6</v>
      </c>
      <c r="D22" s="8" t="n">
        <f aca="false">C22/SUM($C$2:$C$38)</f>
        <v>0.00357716306579135</v>
      </c>
      <c r="E22" s="8" t="n">
        <f aca="false">E21+D22</f>
        <v>0.986504339342696</v>
      </c>
      <c r="F22" s="7" t="str">
        <f aca="false">IF(E22&lt;=0.7,"A",IF(E22&lt;=0.9,"B","C"))</f>
        <v>C</v>
      </c>
      <c r="G22" s="7" t="n">
        <v>955</v>
      </c>
      <c r="H22" s="7" t="n">
        <v>100</v>
      </c>
    </row>
    <row r="23" customFormat="false" ht="15" hidden="false" customHeight="false" outlineLevel="0" collapsed="false">
      <c r="A23" s="7" t="n">
        <v>22</v>
      </c>
      <c r="B23" s="7" t="s">
        <v>884</v>
      </c>
      <c r="C23" s="7" t="n">
        <v>11.1</v>
      </c>
      <c r="D23" s="8" t="n">
        <f aca="false">C23/SUM($C$2:$C$38)</f>
        <v>0.00225605170626613</v>
      </c>
      <c r="E23" s="8" t="n">
        <f aca="false">E22+D23</f>
        <v>0.988760391048962</v>
      </c>
      <c r="F23" s="7" t="str">
        <f aca="false">IF(E23&lt;=0.7,"A",IF(E23&lt;=0.9,"B","C"))</f>
        <v>C</v>
      </c>
      <c r="G23" s="7" t="n">
        <v>197</v>
      </c>
      <c r="H23" s="7" t="n">
        <v>50</v>
      </c>
    </row>
    <row r="24" customFormat="false" ht="15" hidden="false" customHeight="false" outlineLevel="0" collapsed="false">
      <c r="A24" s="7" t="n">
        <v>23</v>
      </c>
      <c r="B24" s="7" t="s">
        <v>885</v>
      </c>
      <c r="C24" s="7" t="n">
        <v>9.2</v>
      </c>
      <c r="D24" s="8" t="n">
        <f aca="false">C24/SUM($C$2:$C$38)</f>
        <v>0.00186988069348184</v>
      </c>
      <c r="E24" s="8" t="n">
        <f aca="false">E23+D24</f>
        <v>0.990630271742444</v>
      </c>
      <c r="F24" s="7" t="str">
        <f aca="false">IF(E24&lt;=0.7,"A",IF(E24&lt;=0.9,"B","C"))</f>
        <v>C</v>
      </c>
      <c r="G24" s="7" t="n">
        <v>747</v>
      </c>
      <c r="H24" s="7" t="n">
        <v>100</v>
      </c>
    </row>
    <row r="25" customFormat="false" ht="15" hidden="false" customHeight="false" outlineLevel="0" collapsed="false">
      <c r="A25" s="7" t="n">
        <v>24</v>
      </c>
      <c r="B25" s="7" t="s">
        <v>886</v>
      </c>
      <c r="C25" s="7" t="n">
        <v>8.9</v>
      </c>
      <c r="D25" s="8" t="n">
        <f aca="false">C25/SUM($C$2:$C$38)</f>
        <v>0.00180890632304221</v>
      </c>
      <c r="E25" s="8" t="n">
        <f aca="false">E24+D25</f>
        <v>0.992439178065486</v>
      </c>
      <c r="F25" s="7" t="str">
        <f aca="false">IF(E25&lt;=0.7,"A",IF(E25&lt;=0.9,"B","C"))</f>
        <v>C</v>
      </c>
      <c r="G25" s="7" t="n">
        <v>713</v>
      </c>
      <c r="H25" s="7" t="n">
        <v>50</v>
      </c>
    </row>
    <row r="26" customFormat="false" ht="15" hidden="false" customHeight="false" outlineLevel="0" collapsed="false">
      <c r="A26" s="7" t="n">
        <v>25</v>
      </c>
      <c r="B26" s="7" t="s">
        <v>887</v>
      </c>
      <c r="C26" s="7" t="n">
        <v>7.3</v>
      </c>
      <c r="D26" s="8" t="n">
        <f aca="false">C26/SUM($C$2:$C$38)</f>
        <v>0.00148370968069755</v>
      </c>
      <c r="E26" s="8" t="n">
        <f aca="false">E25+D26</f>
        <v>0.993922887746184</v>
      </c>
      <c r="F26" s="7" t="str">
        <f aca="false">IF(E26&lt;=0.7,"A",IF(E26&lt;=0.9,"B","C"))</f>
        <v>C</v>
      </c>
      <c r="G26" s="7" t="n">
        <v>221</v>
      </c>
      <c r="H26" s="7" t="n">
        <v>100</v>
      </c>
    </row>
    <row r="27" customFormat="false" ht="15" hidden="false" customHeight="false" outlineLevel="0" collapsed="false">
      <c r="A27" s="7" t="n">
        <v>26</v>
      </c>
      <c r="B27" s="7" t="s">
        <v>888</v>
      </c>
      <c r="C27" s="7" t="n">
        <v>6.5</v>
      </c>
      <c r="D27" s="8" t="n">
        <f aca="false">C27/SUM($C$2:$C$38)</f>
        <v>0.00132111135952521</v>
      </c>
      <c r="E27" s="8" t="n">
        <f aca="false">E26+D27</f>
        <v>0.995243999105709</v>
      </c>
      <c r="F27" s="7" t="str">
        <f aca="false">IF(E27&lt;=0.7,"A",IF(E27&lt;=0.9,"B","C"))</f>
        <v>C</v>
      </c>
      <c r="G27" s="7" t="n">
        <v>637</v>
      </c>
      <c r="H27" s="7" t="n">
        <v>0</v>
      </c>
    </row>
    <row r="28" customFormat="false" ht="15" hidden="false" customHeight="false" outlineLevel="0" collapsed="false">
      <c r="A28" s="7" t="n">
        <v>27</v>
      </c>
      <c r="B28" s="7" t="s">
        <v>889</v>
      </c>
      <c r="C28" s="7" t="n">
        <v>6.5</v>
      </c>
      <c r="D28" s="8" t="n">
        <f aca="false">C28/SUM($C$2:$C$38)</f>
        <v>0.00132111135952521</v>
      </c>
      <c r="E28" s="8" t="n">
        <f aca="false">E27+D28</f>
        <v>0.996565110465234</v>
      </c>
      <c r="F28" s="7" t="str">
        <f aca="false">IF(E28&lt;=0.7,"A",IF(E28&lt;=0.9,"B","C"))</f>
        <v>C</v>
      </c>
      <c r="G28" s="7" t="n">
        <v>185</v>
      </c>
      <c r="H28" s="7" t="n">
        <v>50</v>
      </c>
    </row>
    <row r="29" customFormat="false" ht="15" hidden="false" customHeight="false" outlineLevel="0" collapsed="false">
      <c r="A29" s="7" t="n">
        <v>28</v>
      </c>
      <c r="B29" s="7" t="s">
        <v>890</v>
      </c>
      <c r="C29" s="7" t="n">
        <v>4.9</v>
      </c>
      <c r="D29" s="8" t="n">
        <f aca="false">C29/SUM($C$2:$C$38)</f>
        <v>0.000995914717180545</v>
      </c>
      <c r="E29" s="8" t="n">
        <f aca="false">E28+D29</f>
        <v>0.997561025182415</v>
      </c>
      <c r="F29" s="7" t="str">
        <f aca="false">IF(E29&lt;=0.7,"A",IF(E29&lt;=0.9,"B","C"))</f>
        <v>C</v>
      </c>
      <c r="G29" s="7" t="n">
        <v>111</v>
      </c>
      <c r="H29" s="7" t="n">
        <v>150</v>
      </c>
    </row>
    <row r="30" customFormat="false" ht="15" hidden="false" customHeight="false" outlineLevel="0" collapsed="false">
      <c r="A30" s="7" t="n">
        <v>29</v>
      </c>
      <c r="B30" s="7" t="s">
        <v>891</v>
      </c>
      <c r="C30" s="7" t="n">
        <v>4.3</v>
      </c>
      <c r="D30" s="8" t="n">
        <f aca="false">C30/SUM($C$2:$C$38)</f>
        <v>0.000873965976301295</v>
      </c>
      <c r="E30" s="8" t="n">
        <f aca="false">E29+D30</f>
        <v>0.998434991158716</v>
      </c>
      <c r="F30" s="7" t="str">
        <f aca="false">IF(E30&lt;=0.7,"A",IF(E30&lt;=0.9,"B","C"))</f>
        <v>C</v>
      </c>
      <c r="G30" s="7" t="n">
        <v>383</v>
      </c>
      <c r="H30" s="7" t="n">
        <v>50</v>
      </c>
    </row>
    <row r="31" customFormat="false" ht="15" hidden="false" customHeight="false" outlineLevel="0" collapsed="false">
      <c r="A31" s="7" t="n">
        <v>30</v>
      </c>
      <c r="B31" s="7" t="s">
        <v>892</v>
      </c>
      <c r="C31" s="7" t="n">
        <v>2.2</v>
      </c>
      <c r="D31" s="8" t="n">
        <f aca="false">C31/SUM($C$2:$C$38)</f>
        <v>0.000447145383223918</v>
      </c>
      <c r="E31" s="8" t="n">
        <f aca="false">E30+D31</f>
        <v>0.99888213654194</v>
      </c>
      <c r="F31" s="7" t="str">
        <f aca="false">IF(E31&lt;=0.7,"A",IF(E31&lt;=0.9,"B","C"))</f>
        <v>C</v>
      </c>
      <c r="G31" s="7" t="n">
        <v>37</v>
      </c>
      <c r="H31" s="7" t="n">
        <v>0</v>
      </c>
    </row>
    <row r="32" customFormat="false" ht="15" hidden="false" customHeight="false" outlineLevel="0" collapsed="false">
      <c r="A32" s="7" t="n">
        <v>31</v>
      </c>
      <c r="B32" s="7" t="s">
        <v>893</v>
      </c>
      <c r="C32" s="7" t="n">
        <v>1.4</v>
      </c>
      <c r="D32" s="8" t="n">
        <f aca="false">C32/SUM($C$2:$C$38)</f>
        <v>0.000284547062051584</v>
      </c>
      <c r="E32" s="8" t="n">
        <f aca="false">E31+D32</f>
        <v>0.999166683603991</v>
      </c>
      <c r="F32" s="7" t="str">
        <f aca="false">IF(E32&lt;=0.7,"A",IF(E32&lt;=0.9,"B","C"))</f>
        <v>C</v>
      </c>
      <c r="G32" s="7" t="n">
        <v>34</v>
      </c>
      <c r="H32" s="7" t="n">
        <v>0</v>
      </c>
    </row>
    <row r="33" customFormat="false" ht="15" hidden="false" customHeight="false" outlineLevel="0" collapsed="false">
      <c r="A33" s="7" t="n">
        <v>32</v>
      </c>
      <c r="B33" s="7" t="s">
        <v>894</v>
      </c>
      <c r="C33" s="7" t="n">
        <v>1.1</v>
      </c>
      <c r="D33" s="8" t="n">
        <f aca="false">C33/SUM($C$2:$C$38)</f>
        <v>0.000223572691611959</v>
      </c>
      <c r="E33" s="8" t="n">
        <f aca="false">E32+D33</f>
        <v>0.999390256295603</v>
      </c>
      <c r="F33" s="7" t="str">
        <f aca="false">IF(E33&lt;=0.7,"A",IF(E33&lt;=0.9,"B","C"))</f>
        <v>C</v>
      </c>
      <c r="G33" s="7" t="n">
        <v>350</v>
      </c>
      <c r="H33" s="7" t="n">
        <v>50</v>
      </c>
    </row>
    <row r="34" customFormat="false" ht="15" hidden="false" customHeight="false" outlineLevel="0" collapsed="false">
      <c r="A34" s="7" t="n">
        <v>33</v>
      </c>
      <c r="B34" s="7" t="s">
        <v>895</v>
      </c>
      <c r="C34" s="7" t="n">
        <v>0.8</v>
      </c>
      <c r="D34" s="8" t="n">
        <f aca="false">C34/SUM($C$2:$C$38)</f>
        <v>0.000162598321172334</v>
      </c>
      <c r="E34" s="8" t="n">
        <f aca="false">E33+D34</f>
        <v>0.999552854616776</v>
      </c>
      <c r="F34" s="7" t="str">
        <f aca="false">IF(E34&lt;=0.7,"A",IF(E34&lt;=0.9,"B","C"))</f>
        <v>C</v>
      </c>
      <c r="G34" s="7" t="n">
        <v>101</v>
      </c>
      <c r="H34" s="7" t="n">
        <v>100</v>
      </c>
    </row>
    <row r="35" customFormat="false" ht="15" hidden="false" customHeight="false" outlineLevel="0" collapsed="false">
      <c r="A35" s="7" t="n">
        <v>34</v>
      </c>
      <c r="B35" s="7" t="s">
        <v>896</v>
      </c>
      <c r="C35" s="7" t="n">
        <v>0.8</v>
      </c>
      <c r="D35" s="8" t="n">
        <f aca="false">C35/SUM($C$2:$C$38)</f>
        <v>0.000162598321172334</v>
      </c>
      <c r="E35" s="8" t="n">
        <f aca="false">E34+D35</f>
        <v>0.999715452937948</v>
      </c>
      <c r="F35" s="7" t="str">
        <f aca="false">IF(E35&lt;=0.7,"A",IF(E35&lt;=0.9,"B","C"))</f>
        <v>C</v>
      </c>
      <c r="G35" s="7" t="n">
        <v>308</v>
      </c>
      <c r="H35" s="7" t="n">
        <v>50</v>
      </c>
    </row>
    <row r="36" customFormat="false" ht="15" hidden="false" customHeight="false" outlineLevel="0" collapsed="false">
      <c r="A36" s="7" t="n">
        <v>35</v>
      </c>
      <c r="B36" s="7" t="s">
        <v>897</v>
      </c>
      <c r="C36" s="7" t="n">
        <v>0.8</v>
      </c>
      <c r="D36" s="8" t="n">
        <f aca="false">C36/SUM($C$2:$C$38)</f>
        <v>0.000162598321172334</v>
      </c>
      <c r="E36" s="8" t="n">
        <f aca="false">E35+D36</f>
        <v>0.99987805125912</v>
      </c>
      <c r="F36" s="7" t="str">
        <f aca="false">IF(E36&lt;=0.7,"A",IF(E36&lt;=0.9,"B","C"))</f>
        <v>C</v>
      </c>
      <c r="G36" s="7" t="n">
        <v>329</v>
      </c>
      <c r="H36" s="7" t="n">
        <v>50</v>
      </c>
    </row>
    <row r="37" customFormat="false" ht="15" hidden="false" customHeight="false" outlineLevel="0" collapsed="false">
      <c r="A37" s="7" t="n">
        <v>36</v>
      </c>
      <c r="B37" s="7" t="s">
        <v>898</v>
      </c>
      <c r="C37" s="7" t="n">
        <v>0.3</v>
      </c>
      <c r="D37" s="8" t="n">
        <f aca="false">C37/SUM($C$2:$C$38)</f>
        <v>6.09743704396252E-005</v>
      </c>
      <c r="E37" s="8" t="n">
        <f aca="false">E36+D37</f>
        <v>0.99993902562956</v>
      </c>
      <c r="F37" s="7" t="str">
        <f aca="false">IF(E37&lt;=0.7,"A",IF(E37&lt;=0.9,"B","C"))</f>
        <v>C</v>
      </c>
      <c r="G37" s="7" t="n">
        <v>43</v>
      </c>
      <c r="H37" s="7" t="n">
        <v>50</v>
      </c>
    </row>
    <row r="38" customFormat="false" ht="15" hidden="false" customHeight="false" outlineLevel="0" collapsed="false">
      <c r="A38" s="7" t="n">
        <v>37</v>
      </c>
      <c r="B38" s="7" t="s">
        <v>899</v>
      </c>
      <c r="C38" s="7" t="n">
        <v>0.3</v>
      </c>
      <c r="D38" s="8" t="n">
        <f aca="false">C38/SUM($C$2:$C$38)</f>
        <v>6.09743704396252E-005</v>
      </c>
      <c r="E38" s="8" t="n">
        <f aca="false">E37+D38</f>
        <v>1</v>
      </c>
      <c r="F38" s="7" t="str">
        <f aca="false">IF(E38&lt;=0.7,"A",IF(E38&lt;=0.9,"B","C"))</f>
        <v>C</v>
      </c>
      <c r="G38" s="7" t="n">
        <v>199</v>
      </c>
      <c r="H38" s="7" t="n">
        <v>0</v>
      </c>
    </row>
    <row r="39" customFormat="false" ht="15" hidden="false" customHeight="false" outlineLevel="0" collapsed="false">
      <c r="A39" s="9" t="n">
        <v>38</v>
      </c>
      <c r="B39" s="9" t="s">
        <v>900</v>
      </c>
      <c r="C39" s="9" t="n">
        <v>0</v>
      </c>
      <c r="D39" s="9"/>
      <c r="E39" s="9"/>
      <c r="F39" s="9" t="s">
        <v>196</v>
      </c>
      <c r="G39" s="9" t="n">
        <v>41</v>
      </c>
      <c r="H39" s="9" t="n">
        <v>0</v>
      </c>
    </row>
    <row r="40" customFormat="false" ht="15" hidden="false" customHeight="false" outlineLevel="0" collapsed="false">
      <c r="A40" s="9" t="n">
        <v>39</v>
      </c>
      <c r="B40" s="9" t="s">
        <v>901</v>
      </c>
      <c r="C40" s="9" t="n">
        <v>0</v>
      </c>
      <c r="D40" s="9"/>
      <c r="E40" s="9"/>
      <c r="F40" s="9" t="s">
        <v>196</v>
      </c>
      <c r="G40" s="9" t="n">
        <v>3</v>
      </c>
      <c r="H40" s="9" t="n">
        <v>50</v>
      </c>
    </row>
    <row r="41" customFormat="false" ht="15" hidden="false" customHeight="false" outlineLevel="0" collapsed="false">
      <c r="A41" s="9" t="n">
        <v>40</v>
      </c>
      <c r="B41" s="9" t="s">
        <v>902</v>
      </c>
      <c r="C41" s="9" t="n">
        <v>0</v>
      </c>
      <c r="D41" s="9"/>
      <c r="E41" s="9"/>
      <c r="F41" s="9" t="s">
        <v>196</v>
      </c>
      <c r="G41" s="9" t="n">
        <v>13</v>
      </c>
      <c r="H41" s="9" t="n">
        <v>0</v>
      </c>
    </row>
    <row r="42" customFormat="false" ht="15" hidden="false" customHeight="false" outlineLevel="0" collapsed="false">
      <c r="A42" s="9" t="n">
        <v>41</v>
      </c>
      <c r="B42" s="9" t="s">
        <v>903</v>
      </c>
      <c r="C42" s="9" t="n">
        <v>0</v>
      </c>
      <c r="D42" s="9"/>
      <c r="E42" s="9"/>
      <c r="F42" s="9" t="s">
        <v>196</v>
      </c>
      <c r="G42" s="9" t="n">
        <v>110</v>
      </c>
      <c r="H42" s="9" t="n">
        <v>50</v>
      </c>
    </row>
    <row r="43" customFormat="false" ht="15" hidden="false" customHeight="false" outlineLevel="0" collapsed="false">
      <c r="A43" s="9" t="n">
        <v>42</v>
      </c>
      <c r="B43" s="9" t="s">
        <v>904</v>
      </c>
      <c r="C43" s="9" t="n">
        <v>0</v>
      </c>
      <c r="D43" s="9"/>
      <c r="E43" s="9"/>
      <c r="F43" s="9" t="s">
        <v>196</v>
      </c>
      <c r="G43" s="9" t="n">
        <v>120</v>
      </c>
      <c r="H43" s="9" t="n">
        <v>0</v>
      </c>
    </row>
    <row r="44" customFormat="false" ht="15" hidden="false" customHeight="false" outlineLevel="0" collapsed="false">
      <c r="A44" s="9" t="n">
        <v>43</v>
      </c>
      <c r="B44" s="9" t="s">
        <v>905</v>
      </c>
      <c r="C44" s="9" t="n">
        <v>0</v>
      </c>
      <c r="D44" s="9"/>
      <c r="E44" s="9"/>
      <c r="F44" s="9" t="s">
        <v>196</v>
      </c>
      <c r="G44" s="9" t="n">
        <v>113</v>
      </c>
      <c r="H44" s="9" t="n">
        <v>0</v>
      </c>
    </row>
    <row r="45" customFormat="false" ht="15" hidden="false" customHeight="false" outlineLevel="0" collapsed="false">
      <c r="A45" s="9" t="n">
        <v>44</v>
      </c>
      <c r="B45" s="9" t="s">
        <v>906</v>
      </c>
      <c r="C45" s="9" t="n">
        <v>0</v>
      </c>
      <c r="D45" s="9"/>
      <c r="E45" s="9"/>
      <c r="F45" s="9" t="s">
        <v>196</v>
      </c>
      <c r="G45" s="9" t="n">
        <v>119</v>
      </c>
      <c r="H45" s="9" t="n">
        <v>0</v>
      </c>
    </row>
    <row r="46" customFormat="false" ht="15" hidden="false" customHeight="false" outlineLevel="0" collapsed="false">
      <c r="A46" s="9" t="n">
        <v>45</v>
      </c>
      <c r="B46" s="9" t="s">
        <v>907</v>
      </c>
      <c r="C46" s="9" t="n">
        <v>0</v>
      </c>
      <c r="D46" s="9"/>
      <c r="E46" s="9"/>
      <c r="F46" s="9" t="s">
        <v>196</v>
      </c>
      <c r="G46" s="9" t="n">
        <v>1</v>
      </c>
      <c r="H46" s="9" t="n">
        <v>0</v>
      </c>
    </row>
  </sheetData>
  <conditionalFormatting sqref="F2:F46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908</v>
      </c>
      <c r="C2" s="7" t="n">
        <v>4919.7</v>
      </c>
      <c r="D2" s="8" t="n">
        <f aca="false">C2/SUM($C$2:$C$33)</f>
        <v>0.433438469128841</v>
      </c>
      <c r="E2" s="8" t="n">
        <f aca="false">D2</f>
        <v>0.433438469128841</v>
      </c>
      <c r="F2" s="7" t="str">
        <f aca="false">IF(E2&lt;=0.7,"A",IF(E2&lt;=0.9,"B","C"))</f>
        <v>A</v>
      </c>
      <c r="G2" s="7" t="n">
        <v>15332</v>
      </c>
      <c r="H2" s="7" t="n">
        <v>20000</v>
      </c>
    </row>
    <row r="3" customFormat="false" ht="15" hidden="false" customHeight="false" outlineLevel="0" collapsed="false">
      <c r="A3" s="7" t="n">
        <v>2</v>
      </c>
      <c r="B3" s="7" t="s">
        <v>909</v>
      </c>
      <c r="C3" s="7" t="n">
        <v>2151.9</v>
      </c>
      <c r="D3" s="8" t="n">
        <f aca="false">C3/SUM($C$2:$C$33)</f>
        <v>0.189588032139837</v>
      </c>
      <c r="E3" s="8" t="n">
        <f aca="false">E2+D3</f>
        <v>0.623026501268678</v>
      </c>
      <c r="F3" s="7" t="str">
        <f aca="false">IF(E3&lt;=0.7,"A",IF(E3&lt;=0.9,"B","C"))</f>
        <v>A</v>
      </c>
      <c r="G3" s="7" t="n">
        <v>9953</v>
      </c>
      <c r="H3" s="7" t="n">
        <v>6000</v>
      </c>
    </row>
    <row r="4" customFormat="false" ht="15" hidden="false" customHeight="false" outlineLevel="0" collapsed="false">
      <c r="A4" s="7" t="n">
        <v>3</v>
      </c>
      <c r="B4" s="7" t="s">
        <v>910</v>
      </c>
      <c r="C4" s="7" t="n">
        <v>898.4</v>
      </c>
      <c r="D4" s="8" t="n">
        <f aca="false">C4/SUM($C$2:$C$33)</f>
        <v>0.0791513955455314</v>
      </c>
      <c r="E4" s="8" t="n">
        <f aca="false">E3+D4</f>
        <v>0.702177896814209</v>
      </c>
      <c r="F4" s="7" t="str">
        <f aca="false">IF(E4&lt;=0.7,"A",IF(E4&lt;=0.9,"B","C"))</f>
        <v>B</v>
      </c>
      <c r="G4" s="7" t="n">
        <v>9319</v>
      </c>
      <c r="H4" s="7" t="n">
        <v>6000</v>
      </c>
    </row>
    <row r="5" customFormat="false" ht="15" hidden="false" customHeight="false" outlineLevel="0" collapsed="false">
      <c r="A5" s="7" t="n">
        <v>4</v>
      </c>
      <c r="B5" s="7" t="s">
        <v>911</v>
      </c>
      <c r="C5" s="7" t="n">
        <v>840</v>
      </c>
      <c r="D5" s="8" t="n">
        <f aca="false">C5/SUM($C$2:$C$33)</f>
        <v>0.0740062024245842</v>
      </c>
      <c r="E5" s="8" t="n">
        <f aca="false">E4+D5</f>
        <v>0.776184099238793</v>
      </c>
      <c r="F5" s="7" t="str">
        <f aca="false">IF(E5&lt;=0.7,"A",IF(E5&lt;=0.9,"B","C"))</f>
        <v>B</v>
      </c>
      <c r="G5" s="7" t="n">
        <v>5839</v>
      </c>
      <c r="H5" s="7" t="n">
        <v>6000</v>
      </c>
    </row>
    <row r="6" customFormat="false" ht="15" hidden="false" customHeight="false" outlineLevel="0" collapsed="false">
      <c r="A6" s="7" t="n">
        <v>5</v>
      </c>
      <c r="B6" s="7" t="s">
        <v>912</v>
      </c>
      <c r="C6" s="7" t="n">
        <v>839.7</v>
      </c>
      <c r="D6" s="8" t="n">
        <f aca="false">C6/SUM($C$2:$C$33)</f>
        <v>0.073979771638004</v>
      </c>
      <c r="E6" s="8" t="n">
        <f aca="false">E5+D6</f>
        <v>0.850163870876797</v>
      </c>
      <c r="F6" s="7" t="str">
        <f aca="false">IF(E6&lt;=0.7,"A",IF(E6&lt;=0.9,"B","C"))</f>
        <v>B</v>
      </c>
      <c r="G6" s="7" t="n">
        <v>4631</v>
      </c>
      <c r="H6" s="7" t="n">
        <v>3000</v>
      </c>
    </row>
    <row r="7" customFormat="false" ht="15" hidden="false" customHeight="false" outlineLevel="0" collapsed="false">
      <c r="A7" s="7" t="n">
        <v>6</v>
      </c>
      <c r="B7" s="7" t="s">
        <v>913</v>
      </c>
      <c r="C7" s="7" t="n">
        <v>627.6</v>
      </c>
      <c r="D7" s="8" t="n">
        <f aca="false">C7/SUM($C$2:$C$33)</f>
        <v>0.0552932055257965</v>
      </c>
      <c r="E7" s="8" t="n">
        <f aca="false">E6+D7</f>
        <v>0.905457076402594</v>
      </c>
      <c r="F7" s="7" t="str">
        <f aca="false">IF(E7&lt;=0.7,"A",IF(E7&lt;=0.9,"B","C"))</f>
        <v>C</v>
      </c>
      <c r="G7" s="7" t="n">
        <v>2316</v>
      </c>
      <c r="H7" s="7" t="n">
        <v>3000</v>
      </c>
    </row>
    <row r="8" customFormat="false" ht="15" hidden="false" customHeight="false" outlineLevel="0" collapsed="false">
      <c r="A8" s="7" t="n">
        <v>7</v>
      </c>
      <c r="B8" s="7" t="s">
        <v>914</v>
      </c>
      <c r="C8" s="7" t="n">
        <v>241.1</v>
      </c>
      <c r="D8" s="8" t="n">
        <f aca="false">C8/SUM($C$2:$C$33)</f>
        <v>0.0212415421482943</v>
      </c>
      <c r="E8" s="8" t="n">
        <f aca="false">E7+D8</f>
        <v>0.926698618550888</v>
      </c>
      <c r="F8" s="7" t="str">
        <f aca="false">IF(E8&lt;=0.7,"A",IF(E8&lt;=0.9,"B","C"))</f>
        <v>C</v>
      </c>
      <c r="G8" s="7" t="n">
        <v>6609</v>
      </c>
      <c r="H8" s="7" t="n">
        <v>5000</v>
      </c>
    </row>
    <row r="9" customFormat="false" ht="15" hidden="false" customHeight="false" outlineLevel="0" collapsed="false">
      <c r="A9" s="7" t="n">
        <v>8</v>
      </c>
      <c r="B9" s="7" t="s">
        <v>915</v>
      </c>
      <c r="C9" s="7" t="n">
        <v>193.5</v>
      </c>
      <c r="D9" s="8" t="n">
        <f aca="false">C9/SUM($C$2:$C$33)</f>
        <v>0.0170478573442346</v>
      </c>
      <c r="E9" s="8" t="n">
        <f aca="false">E8+D9</f>
        <v>0.943746475895123</v>
      </c>
      <c r="F9" s="7" t="str">
        <f aca="false">IF(E9&lt;=0.7,"A",IF(E9&lt;=0.9,"B","C"))</f>
        <v>C</v>
      </c>
      <c r="G9" s="7" t="n">
        <v>11460</v>
      </c>
      <c r="H9" s="7" t="n">
        <v>5000</v>
      </c>
    </row>
    <row r="10" customFormat="false" ht="15" hidden="false" customHeight="false" outlineLevel="0" collapsed="false">
      <c r="A10" s="7" t="n">
        <v>9</v>
      </c>
      <c r="B10" s="7" t="s">
        <v>916</v>
      </c>
      <c r="C10" s="7" t="n">
        <v>123.8</v>
      </c>
      <c r="D10" s="8" t="n">
        <f aca="false">C10/SUM($C$2:$C$33)</f>
        <v>0.0109071045954328</v>
      </c>
      <c r="E10" s="8" t="n">
        <f aca="false">E9+D10</f>
        <v>0.954653580490555</v>
      </c>
      <c r="F10" s="7" t="str">
        <f aca="false">IF(E10&lt;=0.7,"A",IF(E10&lt;=0.9,"B","C"))</f>
        <v>C</v>
      </c>
      <c r="G10" s="7" t="n">
        <v>2487</v>
      </c>
      <c r="H10" s="7" t="n">
        <v>500</v>
      </c>
    </row>
    <row r="11" customFormat="false" ht="15" hidden="false" customHeight="false" outlineLevel="0" collapsed="false">
      <c r="A11" s="7" t="n">
        <v>10</v>
      </c>
      <c r="B11" s="7" t="s">
        <v>917</v>
      </c>
      <c r="C11" s="7" t="n">
        <v>88.6</v>
      </c>
      <c r="D11" s="8" t="n">
        <f aca="false">C11/SUM($C$2:$C$33)</f>
        <v>0.00780589230335495</v>
      </c>
      <c r="E11" s="8" t="n">
        <f aca="false">E10+D11</f>
        <v>0.96245947279391</v>
      </c>
      <c r="F11" s="7" t="str">
        <f aca="false">IF(E11&lt;=0.7,"A",IF(E11&lt;=0.9,"B","C"))</f>
        <v>C</v>
      </c>
      <c r="G11" s="7" t="n">
        <v>3780</v>
      </c>
      <c r="H11" s="7" t="n">
        <v>150</v>
      </c>
    </row>
    <row r="12" customFormat="false" ht="15" hidden="false" customHeight="false" outlineLevel="0" collapsed="false">
      <c r="A12" s="7" t="n">
        <v>11</v>
      </c>
      <c r="B12" s="7" t="s">
        <v>918</v>
      </c>
      <c r="C12" s="7" t="n">
        <v>87</v>
      </c>
      <c r="D12" s="8" t="n">
        <f aca="false">C12/SUM($C$2:$C$33)</f>
        <v>0.0076649281082605</v>
      </c>
      <c r="E12" s="8" t="n">
        <f aca="false">E11+D12</f>
        <v>0.970124400902171</v>
      </c>
      <c r="F12" s="7" t="str">
        <f aca="false">IF(E12&lt;=0.7,"A",IF(E12&lt;=0.9,"B","C"))</f>
        <v>C</v>
      </c>
      <c r="G12" s="7" t="n">
        <v>1216</v>
      </c>
      <c r="H12" s="7" t="n">
        <v>150</v>
      </c>
    </row>
    <row r="13" customFormat="false" ht="15" hidden="false" customHeight="false" outlineLevel="0" collapsed="false">
      <c r="A13" s="7" t="n">
        <v>12</v>
      </c>
      <c r="B13" s="7" t="s">
        <v>919</v>
      </c>
      <c r="C13" s="7" t="n">
        <v>85.1</v>
      </c>
      <c r="D13" s="8" t="n">
        <f aca="false">C13/SUM($C$2:$C$33)</f>
        <v>0.00749753312658585</v>
      </c>
      <c r="E13" s="8" t="n">
        <f aca="false">E12+D13</f>
        <v>0.977621934028757</v>
      </c>
      <c r="F13" s="7" t="str">
        <f aca="false">IF(E13&lt;=0.7,"A",IF(E13&lt;=0.9,"B","C"))</f>
        <v>C</v>
      </c>
      <c r="G13" s="7" t="n">
        <v>1644</v>
      </c>
      <c r="H13" s="7" t="n">
        <v>100</v>
      </c>
    </row>
    <row r="14" customFormat="false" ht="15" hidden="false" customHeight="false" outlineLevel="0" collapsed="false">
      <c r="A14" s="7" t="n">
        <v>13</v>
      </c>
      <c r="B14" s="7" t="s">
        <v>920</v>
      </c>
      <c r="C14" s="7" t="n">
        <v>64.9</v>
      </c>
      <c r="D14" s="8" t="n">
        <f aca="false">C14/SUM($C$2:$C$33)</f>
        <v>0.00571786016351847</v>
      </c>
      <c r="E14" s="8" t="n">
        <f aca="false">E13+D14</f>
        <v>0.983339794192275</v>
      </c>
      <c r="F14" s="7" t="str">
        <f aca="false">IF(E14&lt;=0.7,"A",IF(E14&lt;=0.9,"B","C"))</f>
        <v>C</v>
      </c>
      <c r="G14" s="7" t="n">
        <v>449</v>
      </c>
      <c r="H14" s="7" t="n">
        <v>50</v>
      </c>
    </row>
    <row r="15" customFormat="false" ht="15" hidden="false" customHeight="false" outlineLevel="0" collapsed="false">
      <c r="A15" s="7" t="n">
        <v>14</v>
      </c>
      <c r="B15" s="7" t="s">
        <v>921</v>
      </c>
      <c r="C15" s="7" t="n">
        <v>41.4</v>
      </c>
      <c r="D15" s="8" t="n">
        <f aca="false">C15/SUM($C$2:$C$33)</f>
        <v>0.00364744854806879</v>
      </c>
      <c r="E15" s="8" t="n">
        <f aca="false">E14+D15</f>
        <v>0.986987242740344</v>
      </c>
      <c r="F15" s="7" t="str">
        <f aca="false">IF(E15&lt;=0.7,"A",IF(E15&lt;=0.9,"B","C"))</f>
        <v>C</v>
      </c>
      <c r="G15" s="7" t="n">
        <v>669</v>
      </c>
      <c r="H15" s="7" t="n">
        <v>250</v>
      </c>
    </row>
    <row r="16" customFormat="false" ht="15" hidden="false" customHeight="false" outlineLevel="0" collapsed="false">
      <c r="A16" s="7" t="n">
        <v>15</v>
      </c>
      <c r="B16" s="7" t="s">
        <v>922</v>
      </c>
      <c r="C16" s="7" t="n">
        <v>26.5</v>
      </c>
      <c r="D16" s="8" t="n">
        <f aca="false">C16/SUM($C$2:$C$33)</f>
        <v>0.00233471948125176</v>
      </c>
      <c r="E16" s="8" t="n">
        <f aca="false">E15+D16</f>
        <v>0.989321962221596</v>
      </c>
      <c r="F16" s="7" t="str">
        <f aca="false">IF(E16&lt;=0.7,"A",IF(E16&lt;=0.9,"B","C"))</f>
        <v>C</v>
      </c>
      <c r="G16" s="7" t="n">
        <v>4888</v>
      </c>
      <c r="H16" s="7" t="n">
        <v>1000</v>
      </c>
    </row>
    <row r="17" customFormat="false" ht="15" hidden="false" customHeight="false" outlineLevel="0" collapsed="false">
      <c r="A17" s="7" t="n">
        <v>16</v>
      </c>
      <c r="B17" s="7" t="s">
        <v>923</v>
      </c>
      <c r="C17" s="7" t="n">
        <v>22.4</v>
      </c>
      <c r="D17" s="8" t="n">
        <f aca="false">C17/SUM($C$2:$C$33)</f>
        <v>0.00197349873132224</v>
      </c>
      <c r="E17" s="8" t="n">
        <f aca="false">E16+D17</f>
        <v>0.991295460952918</v>
      </c>
      <c r="F17" s="7" t="str">
        <f aca="false">IF(E17&lt;=0.7,"A",IF(E17&lt;=0.9,"B","C"))</f>
        <v>C</v>
      </c>
      <c r="G17" s="7" t="n">
        <v>106</v>
      </c>
      <c r="H17" s="7" t="n">
        <v>50</v>
      </c>
    </row>
    <row r="18" customFormat="false" ht="15" hidden="false" customHeight="false" outlineLevel="0" collapsed="false">
      <c r="A18" s="7" t="n">
        <v>17</v>
      </c>
      <c r="B18" s="7" t="s">
        <v>924</v>
      </c>
      <c r="C18" s="7" t="n">
        <v>14.3</v>
      </c>
      <c r="D18" s="8" t="n">
        <f aca="false">C18/SUM($C$2:$C$33)</f>
        <v>0.00125986749365661</v>
      </c>
      <c r="E18" s="8" t="n">
        <f aca="false">E17+D18</f>
        <v>0.992555328446574</v>
      </c>
      <c r="F18" s="7" t="str">
        <f aca="false">IF(E18&lt;=0.7,"A",IF(E18&lt;=0.9,"B","C"))</f>
        <v>C</v>
      </c>
      <c r="G18" s="7" t="n">
        <v>154</v>
      </c>
      <c r="H18" s="7" t="n">
        <v>50</v>
      </c>
    </row>
    <row r="19" customFormat="false" ht="15" hidden="false" customHeight="false" outlineLevel="0" collapsed="false">
      <c r="A19" s="7" t="n">
        <v>18</v>
      </c>
      <c r="B19" s="7" t="s">
        <v>925</v>
      </c>
      <c r="C19" s="7" t="n">
        <v>12.4</v>
      </c>
      <c r="D19" s="8" t="n">
        <f aca="false">C19/SUM($C$2:$C$33)</f>
        <v>0.00109247251198196</v>
      </c>
      <c r="E19" s="8" t="n">
        <f aca="false">E18+D19</f>
        <v>0.993647800958556</v>
      </c>
      <c r="F19" s="7" t="str">
        <f aca="false">IF(E19&lt;=0.7,"A",IF(E19&lt;=0.9,"B","C"))</f>
        <v>C</v>
      </c>
      <c r="G19" s="7" t="n">
        <v>86</v>
      </c>
      <c r="H19" s="7" t="n">
        <v>50</v>
      </c>
    </row>
    <row r="20" customFormat="false" ht="15" hidden="false" customHeight="false" outlineLevel="0" collapsed="false">
      <c r="A20" s="7" t="n">
        <v>19</v>
      </c>
      <c r="B20" s="7" t="s">
        <v>926</v>
      </c>
      <c r="C20" s="7" t="n">
        <v>10.3</v>
      </c>
      <c r="D20" s="8" t="n">
        <f aca="false">C20/SUM($C$2:$C$33)</f>
        <v>0.000907457005920496</v>
      </c>
      <c r="E20" s="8" t="n">
        <f aca="false">E19+D20</f>
        <v>0.994555257964477</v>
      </c>
      <c r="F20" s="7" t="str">
        <f aca="false">IF(E20&lt;=0.7,"A",IF(E20&lt;=0.9,"B","C"))</f>
        <v>C</v>
      </c>
      <c r="G20" s="7" t="n">
        <v>1767</v>
      </c>
      <c r="H20" s="7" t="n">
        <v>50</v>
      </c>
    </row>
    <row r="21" customFormat="false" ht="15" hidden="false" customHeight="false" outlineLevel="0" collapsed="false">
      <c r="A21" s="7" t="n">
        <v>20</v>
      </c>
      <c r="B21" s="7" t="s">
        <v>927</v>
      </c>
      <c r="C21" s="7" t="n">
        <v>10</v>
      </c>
      <c r="D21" s="8" t="n">
        <f aca="false">C21/SUM($C$2:$C$33)</f>
        <v>0.000881026219340288</v>
      </c>
      <c r="E21" s="8" t="n">
        <f aca="false">E20+D21</f>
        <v>0.995436284183817</v>
      </c>
      <c r="F21" s="7" t="str">
        <f aca="false">IF(E21&lt;=0.7,"A",IF(E21&lt;=0.9,"B","C"))</f>
        <v>C</v>
      </c>
      <c r="G21" s="7" t="n">
        <v>1095</v>
      </c>
      <c r="H21" s="7" t="n">
        <v>50</v>
      </c>
    </row>
    <row r="22" customFormat="false" ht="15" hidden="false" customHeight="false" outlineLevel="0" collapsed="false">
      <c r="A22" s="7" t="n">
        <v>21</v>
      </c>
      <c r="B22" s="7" t="s">
        <v>928</v>
      </c>
      <c r="C22" s="7" t="n">
        <v>9.2</v>
      </c>
      <c r="D22" s="8" t="n">
        <f aca="false">C22/SUM($C$2:$C$33)</f>
        <v>0.000810544121793065</v>
      </c>
      <c r="E22" s="8" t="n">
        <f aca="false">E21+D22</f>
        <v>0.99624682830561</v>
      </c>
      <c r="F22" s="7" t="str">
        <f aca="false">IF(E22&lt;=0.7,"A",IF(E22&lt;=0.9,"B","C"))</f>
        <v>C</v>
      </c>
      <c r="G22" s="7" t="n">
        <v>982</v>
      </c>
      <c r="H22" s="7" t="n">
        <v>50</v>
      </c>
    </row>
    <row r="23" customFormat="false" ht="15" hidden="false" customHeight="false" outlineLevel="0" collapsed="false">
      <c r="A23" s="7" t="n">
        <v>22</v>
      </c>
      <c r="B23" s="7" t="s">
        <v>929</v>
      </c>
      <c r="C23" s="7" t="n">
        <v>7.3</v>
      </c>
      <c r="D23" s="8" t="n">
        <f aca="false">C23/SUM($C$2:$C$33)</f>
        <v>0.00064314914011841</v>
      </c>
      <c r="E23" s="8" t="n">
        <f aca="false">E22+D23</f>
        <v>0.996889977445729</v>
      </c>
      <c r="F23" s="7" t="str">
        <f aca="false">IF(E23&lt;=0.7,"A",IF(E23&lt;=0.9,"B","C"))</f>
        <v>C</v>
      </c>
      <c r="G23" s="7" t="n">
        <v>1631</v>
      </c>
      <c r="H23" s="7" t="n">
        <v>50</v>
      </c>
    </row>
    <row r="24" customFormat="false" ht="15" hidden="false" customHeight="false" outlineLevel="0" collapsed="false">
      <c r="A24" s="7" t="n">
        <v>23</v>
      </c>
      <c r="B24" s="7" t="s">
        <v>930</v>
      </c>
      <c r="C24" s="7" t="n">
        <v>6.2</v>
      </c>
      <c r="D24" s="8" t="n">
        <f aca="false">C24/SUM($C$2:$C$33)</f>
        <v>0.000546236255990978</v>
      </c>
      <c r="E24" s="8" t="n">
        <f aca="false">E23+D24</f>
        <v>0.99743621370172</v>
      </c>
      <c r="F24" s="7" t="str">
        <f aca="false">IF(E24&lt;=0.7,"A",IF(E24&lt;=0.9,"B","C"))</f>
        <v>C</v>
      </c>
      <c r="G24" s="7" t="n">
        <v>231</v>
      </c>
      <c r="H24" s="7" t="n">
        <v>50</v>
      </c>
    </row>
    <row r="25" customFormat="false" ht="15" hidden="false" customHeight="false" outlineLevel="0" collapsed="false">
      <c r="A25" s="7" t="n">
        <v>24</v>
      </c>
      <c r="B25" s="7" t="s">
        <v>931</v>
      </c>
      <c r="C25" s="7" t="n">
        <v>5.7</v>
      </c>
      <c r="D25" s="8" t="n">
        <f aca="false">C25/SUM($C$2:$C$33)</f>
        <v>0.000502184945023964</v>
      </c>
      <c r="E25" s="8" t="n">
        <f aca="false">E24+D25</f>
        <v>0.997938398646744</v>
      </c>
      <c r="F25" s="7" t="str">
        <f aca="false">IF(E25&lt;=0.7,"A",IF(E25&lt;=0.9,"B","C"))</f>
        <v>C</v>
      </c>
      <c r="G25" s="7" t="n">
        <v>90</v>
      </c>
      <c r="H25" s="7" t="n">
        <v>50</v>
      </c>
    </row>
    <row r="26" customFormat="false" ht="15" hidden="false" customHeight="false" outlineLevel="0" collapsed="false">
      <c r="A26" s="7" t="n">
        <v>25</v>
      </c>
      <c r="B26" s="7" t="s">
        <v>932</v>
      </c>
      <c r="C26" s="7" t="n">
        <v>5.7</v>
      </c>
      <c r="D26" s="8" t="n">
        <f aca="false">C26/SUM($C$2:$C$33)</f>
        <v>0.000502184945023964</v>
      </c>
      <c r="E26" s="8" t="n">
        <f aca="false">E25+D26</f>
        <v>0.998440583591768</v>
      </c>
      <c r="F26" s="7" t="str">
        <f aca="false">IF(E26&lt;=0.7,"A",IF(E26&lt;=0.9,"B","C"))</f>
        <v>C</v>
      </c>
      <c r="G26" s="7" t="n">
        <v>98</v>
      </c>
      <c r="H26" s="7" t="n">
        <v>50</v>
      </c>
    </row>
    <row r="27" customFormat="false" ht="15" hidden="false" customHeight="false" outlineLevel="0" collapsed="false">
      <c r="A27" s="7" t="n">
        <v>26</v>
      </c>
      <c r="B27" s="7" t="s">
        <v>933</v>
      </c>
      <c r="C27" s="7" t="n">
        <v>5.1</v>
      </c>
      <c r="D27" s="8" t="n">
        <f aca="false">C27/SUM($C$2:$C$33)</f>
        <v>0.000449323371863547</v>
      </c>
      <c r="E27" s="8" t="n">
        <f aca="false">E26+D27</f>
        <v>0.998889906963631</v>
      </c>
      <c r="F27" s="7" t="str">
        <f aca="false">IF(E27&lt;=0.7,"A",IF(E27&lt;=0.9,"B","C"))</f>
        <v>C</v>
      </c>
      <c r="G27" s="7" t="n">
        <v>1270</v>
      </c>
      <c r="H27" s="7" t="n">
        <v>50</v>
      </c>
    </row>
    <row r="28" customFormat="false" ht="15" hidden="false" customHeight="false" outlineLevel="0" collapsed="false">
      <c r="A28" s="7" t="n">
        <v>27</v>
      </c>
      <c r="B28" s="7" t="s">
        <v>934</v>
      </c>
      <c r="C28" s="7" t="n">
        <v>3.2</v>
      </c>
      <c r="D28" s="8" t="n">
        <f aca="false">C28/SUM($C$2:$C$33)</f>
        <v>0.000281928390188892</v>
      </c>
      <c r="E28" s="8" t="n">
        <f aca="false">E27+D28</f>
        <v>0.99917183535382</v>
      </c>
      <c r="F28" s="7" t="str">
        <f aca="false">IF(E28&lt;=0.7,"A",IF(E28&lt;=0.9,"B","C"))</f>
        <v>C</v>
      </c>
      <c r="G28" s="7" t="n">
        <v>952</v>
      </c>
      <c r="H28" s="7" t="n">
        <v>50</v>
      </c>
    </row>
    <row r="29" customFormat="false" ht="15" hidden="false" customHeight="false" outlineLevel="0" collapsed="false">
      <c r="A29" s="7" t="n">
        <v>28</v>
      </c>
      <c r="B29" s="7" t="s">
        <v>935</v>
      </c>
      <c r="C29" s="7" t="n">
        <v>3</v>
      </c>
      <c r="D29" s="8" t="n">
        <f aca="false">C29/SUM($C$2:$C$33)</f>
        <v>0.000264307865802086</v>
      </c>
      <c r="E29" s="8" t="n">
        <f aca="false">E28+D29</f>
        <v>0.999436143219622</v>
      </c>
      <c r="F29" s="7" t="str">
        <f aca="false">IF(E29&lt;=0.7,"A",IF(E29&lt;=0.9,"B","C"))</f>
        <v>C</v>
      </c>
      <c r="G29" s="7" t="n">
        <v>2055</v>
      </c>
      <c r="H29" s="7" t="n">
        <v>50</v>
      </c>
    </row>
    <row r="30" customFormat="false" ht="15" hidden="false" customHeight="false" outlineLevel="0" collapsed="false">
      <c r="A30" s="7" t="n">
        <v>29</v>
      </c>
      <c r="B30" s="7" t="s">
        <v>936</v>
      </c>
      <c r="C30" s="7" t="n">
        <v>2.7</v>
      </c>
      <c r="D30" s="8" t="n">
        <f aca="false">C30/SUM($C$2:$C$33)</f>
        <v>0.000237877079221878</v>
      </c>
      <c r="E30" s="8" t="n">
        <f aca="false">E29+D30</f>
        <v>0.999674020298844</v>
      </c>
      <c r="F30" s="7" t="str">
        <f aca="false">IF(E30&lt;=0.7,"A",IF(E30&lt;=0.9,"B","C"))</f>
        <v>C</v>
      </c>
      <c r="G30" s="7" t="n">
        <v>1532</v>
      </c>
      <c r="H30" s="7" t="n">
        <v>50</v>
      </c>
    </row>
    <row r="31" customFormat="false" ht="15" hidden="false" customHeight="false" outlineLevel="0" collapsed="false">
      <c r="A31" s="7" t="n">
        <v>30</v>
      </c>
      <c r="B31" s="7" t="s">
        <v>937</v>
      </c>
      <c r="C31" s="7" t="n">
        <v>1.6</v>
      </c>
      <c r="D31" s="8" t="n">
        <f aca="false">C31/SUM($C$2:$C$33)</f>
        <v>0.000140964195094446</v>
      </c>
      <c r="E31" s="8" t="n">
        <f aca="false">E30+D31</f>
        <v>0.999814984493938</v>
      </c>
      <c r="F31" s="7" t="str">
        <f aca="false">IF(E31&lt;=0.7,"A",IF(E31&lt;=0.9,"B","C"))</f>
        <v>C</v>
      </c>
      <c r="G31" s="7" t="n">
        <v>54</v>
      </c>
      <c r="H31" s="7" t="n">
        <v>0</v>
      </c>
    </row>
    <row r="32" customFormat="false" ht="15" hidden="false" customHeight="false" outlineLevel="0" collapsed="false">
      <c r="A32" s="7" t="n">
        <v>31</v>
      </c>
      <c r="B32" s="7" t="s">
        <v>938</v>
      </c>
      <c r="C32" s="7" t="n">
        <v>1.6</v>
      </c>
      <c r="D32" s="8" t="n">
        <f aca="false">C32/SUM($C$2:$C$33)</f>
        <v>0.000140964195094446</v>
      </c>
      <c r="E32" s="8" t="n">
        <f aca="false">E31+D32</f>
        <v>0.999955948689033</v>
      </c>
      <c r="F32" s="7" t="str">
        <f aca="false">IF(E32&lt;=0.7,"A",IF(E32&lt;=0.9,"B","C"))</f>
        <v>C</v>
      </c>
      <c r="G32" s="7" t="n">
        <v>994</v>
      </c>
      <c r="H32" s="7" t="n">
        <v>0</v>
      </c>
    </row>
    <row r="33" customFormat="false" ht="15" hidden="false" customHeight="false" outlineLevel="0" collapsed="false">
      <c r="A33" s="7" t="n">
        <v>32</v>
      </c>
      <c r="B33" s="7" t="s">
        <v>939</v>
      </c>
      <c r="C33" s="7" t="n">
        <v>0.5</v>
      </c>
      <c r="D33" s="8" t="n">
        <f aca="false">C33/SUM($C$2:$C$33)</f>
        <v>4.40513109670144E-005</v>
      </c>
      <c r="E33" s="8" t="n">
        <f aca="false">E32+D33</f>
        <v>1</v>
      </c>
      <c r="F33" s="7" t="str">
        <f aca="false">IF(E33&lt;=0.7,"A",IF(E33&lt;=0.9,"B","C"))</f>
        <v>C</v>
      </c>
      <c r="G33" s="7" t="n">
        <v>316</v>
      </c>
      <c r="H33" s="7" t="n">
        <v>0</v>
      </c>
    </row>
    <row r="34" customFormat="false" ht="15" hidden="false" customHeight="false" outlineLevel="0" collapsed="false">
      <c r="A34" s="9" t="n">
        <v>33</v>
      </c>
      <c r="B34" s="9" t="s">
        <v>940</v>
      </c>
      <c r="C34" s="9" t="n">
        <v>0</v>
      </c>
      <c r="D34" s="9"/>
      <c r="E34" s="9"/>
      <c r="F34" s="9" t="s">
        <v>196</v>
      </c>
      <c r="G34" s="9" t="n">
        <v>3810</v>
      </c>
      <c r="H34" s="9" t="n">
        <v>150</v>
      </c>
    </row>
    <row r="35" customFormat="false" ht="15" hidden="false" customHeight="false" outlineLevel="0" collapsed="false">
      <c r="A35" s="9" t="n">
        <v>34</v>
      </c>
      <c r="B35" s="9" t="s">
        <v>941</v>
      </c>
      <c r="C35" s="9" t="n">
        <v>0</v>
      </c>
      <c r="D35" s="9"/>
      <c r="E35" s="9"/>
      <c r="F35" s="9" t="s">
        <v>196</v>
      </c>
      <c r="G35" s="9" t="n">
        <v>2628</v>
      </c>
      <c r="H35" s="9" t="n">
        <v>0</v>
      </c>
    </row>
    <row r="36" customFormat="false" ht="15" hidden="false" customHeight="false" outlineLevel="0" collapsed="false">
      <c r="A36" s="9" t="n">
        <v>35</v>
      </c>
      <c r="B36" s="9" t="s">
        <v>942</v>
      </c>
      <c r="C36" s="9" t="n">
        <v>0</v>
      </c>
      <c r="D36" s="9"/>
      <c r="E36" s="9"/>
      <c r="F36" s="9" t="s">
        <v>196</v>
      </c>
      <c r="G36" s="9" t="n">
        <v>2000</v>
      </c>
      <c r="H36" s="9" t="n">
        <v>0</v>
      </c>
    </row>
    <row r="37" customFormat="false" ht="15" hidden="false" customHeight="false" outlineLevel="0" collapsed="false">
      <c r="A37" s="9" t="n">
        <v>36</v>
      </c>
      <c r="B37" s="9" t="s">
        <v>943</v>
      </c>
      <c r="C37" s="9" t="n">
        <v>0</v>
      </c>
      <c r="D37" s="9"/>
      <c r="E37" s="9"/>
      <c r="F37" s="9" t="s">
        <v>196</v>
      </c>
      <c r="G37" s="9" t="n">
        <v>183</v>
      </c>
      <c r="H37" s="9" t="n">
        <v>50</v>
      </c>
    </row>
    <row r="38" customFormat="false" ht="15" hidden="false" customHeight="false" outlineLevel="0" collapsed="false">
      <c r="A38" s="9" t="n">
        <v>37</v>
      </c>
      <c r="B38" s="9" t="s">
        <v>944</v>
      </c>
      <c r="C38" s="9" t="n">
        <v>0</v>
      </c>
      <c r="D38" s="9"/>
      <c r="E38" s="9"/>
      <c r="F38" s="9" t="s">
        <v>196</v>
      </c>
      <c r="G38" s="9" t="n">
        <v>2001</v>
      </c>
      <c r="H38" s="9" t="n">
        <v>0</v>
      </c>
    </row>
  </sheetData>
  <conditionalFormatting sqref="F2:F38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945</v>
      </c>
      <c r="C2" s="7" t="n">
        <v>13227.6</v>
      </c>
      <c r="D2" s="8" t="n">
        <f aca="false">C2/SUM($C$2:$C$13)</f>
        <v>0.65181462044497</v>
      </c>
      <c r="E2" s="8" t="n">
        <f aca="false">D2</f>
        <v>0.65181462044497</v>
      </c>
      <c r="F2" s="7" t="str">
        <f aca="false">IF(E2&lt;=0.7,"A",IF(E2&lt;=0.9,"B","C"))</f>
        <v>A</v>
      </c>
      <c r="G2" s="7" t="n">
        <v>26953</v>
      </c>
      <c r="H2" s="7" t="n">
        <v>30000</v>
      </c>
    </row>
    <row r="3" customFormat="false" ht="15" hidden="false" customHeight="false" outlineLevel="0" collapsed="false">
      <c r="A3" s="7" t="n">
        <v>2</v>
      </c>
      <c r="B3" s="7" t="s">
        <v>946</v>
      </c>
      <c r="C3" s="7" t="n">
        <v>6000.5</v>
      </c>
      <c r="D3" s="8" t="n">
        <f aca="false">C3/SUM($C$2:$C$13)</f>
        <v>0.295685810727573</v>
      </c>
      <c r="E3" s="8" t="n">
        <f aca="false">E2+D3</f>
        <v>0.947500431172543</v>
      </c>
      <c r="F3" s="7" t="str">
        <f aca="false">IF(E3&lt;=0.7,"A",IF(E3&lt;=0.9,"B","C"))</f>
        <v>C</v>
      </c>
      <c r="G3" s="7" t="n">
        <v>53466</v>
      </c>
      <c r="H3" s="7" t="n">
        <v>30000</v>
      </c>
    </row>
    <row r="4" customFormat="false" ht="15" hidden="false" customHeight="false" outlineLevel="0" collapsed="false">
      <c r="A4" s="7" t="n">
        <v>3</v>
      </c>
      <c r="B4" s="7" t="s">
        <v>947</v>
      </c>
      <c r="C4" s="7" t="n">
        <v>541.4</v>
      </c>
      <c r="D4" s="8" t="n">
        <f aca="false">C4/SUM($C$2:$C$13)</f>
        <v>0.0266784931135585</v>
      </c>
      <c r="E4" s="8" t="n">
        <f aca="false">E3+D4</f>
        <v>0.974178924286102</v>
      </c>
      <c r="F4" s="7" t="str">
        <f aca="false">IF(E4&lt;=0.7,"A",IF(E4&lt;=0.9,"B","C"))</f>
        <v>C</v>
      </c>
      <c r="G4" s="7" t="n">
        <v>8145</v>
      </c>
      <c r="H4" s="7" t="n">
        <v>850</v>
      </c>
    </row>
    <row r="5" customFormat="false" ht="15" hidden="false" customHeight="false" outlineLevel="0" collapsed="false">
      <c r="A5" s="7" t="n">
        <v>4</v>
      </c>
      <c r="B5" s="7" t="s">
        <v>948</v>
      </c>
      <c r="C5" s="7" t="n">
        <v>235.9</v>
      </c>
      <c r="D5" s="8" t="n">
        <f aca="false">C5/SUM($C$2:$C$13)</f>
        <v>0.0116244117574593</v>
      </c>
      <c r="E5" s="8" t="n">
        <f aca="false">E4+D5</f>
        <v>0.985803336043561</v>
      </c>
      <c r="F5" s="7" t="str">
        <f aca="false">IF(E5&lt;=0.7,"A",IF(E5&lt;=0.9,"B","C"))</f>
        <v>C</v>
      </c>
      <c r="G5" s="7" t="n">
        <v>127</v>
      </c>
      <c r="H5" s="7" t="n">
        <v>200</v>
      </c>
    </row>
    <row r="6" customFormat="false" ht="15" hidden="false" customHeight="false" outlineLevel="0" collapsed="false">
      <c r="A6" s="7" t="n">
        <v>5</v>
      </c>
      <c r="B6" s="7" t="s">
        <v>949</v>
      </c>
      <c r="C6" s="7" t="n">
        <v>96.2</v>
      </c>
      <c r="D6" s="8" t="n">
        <f aca="false">C6/SUM($C$2:$C$13)</f>
        <v>0.00474043412915466</v>
      </c>
      <c r="E6" s="8" t="n">
        <f aca="false">E5+D6</f>
        <v>0.990543770172716</v>
      </c>
      <c r="F6" s="7" t="str">
        <f aca="false">IF(E6&lt;=0.7,"A",IF(E6&lt;=0.9,"B","C"))</f>
        <v>C</v>
      </c>
      <c r="G6" s="7" t="n">
        <v>852</v>
      </c>
      <c r="H6" s="7" t="n">
        <v>150</v>
      </c>
    </row>
    <row r="7" customFormat="false" ht="15" hidden="false" customHeight="false" outlineLevel="0" collapsed="false">
      <c r="A7" s="7" t="n">
        <v>6</v>
      </c>
      <c r="B7" s="7" t="s">
        <v>950</v>
      </c>
      <c r="C7" s="7" t="n">
        <v>58.9</v>
      </c>
      <c r="D7" s="8" t="n">
        <f aca="false">C7/SUM($C$2:$C$13)</f>
        <v>0.00290240717471111</v>
      </c>
      <c r="E7" s="8" t="n">
        <f aca="false">E6+D7</f>
        <v>0.993446177347427</v>
      </c>
      <c r="F7" s="7" t="str">
        <f aca="false">IF(E7&lt;=0.7,"A",IF(E7&lt;=0.9,"B","C"))</f>
        <v>C</v>
      </c>
      <c r="G7" s="7" t="n">
        <v>7174</v>
      </c>
      <c r="H7" s="7" t="n">
        <v>650</v>
      </c>
    </row>
    <row r="8" customFormat="false" ht="15" hidden="false" customHeight="false" outlineLevel="0" collapsed="false">
      <c r="A8" s="7" t="n">
        <v>7</v>
      </c>
      <c r="B8" s="7" t="s">
        <v>951</v>
      </c>
      <c r="C8" s="7" t="n">
        <v>47.8</v>
      </c>
      <c r="D8" s="8" t="n">
        <f aca="false">C8/SUM($C$2:$C$13)</f>
        <v>0.0023554340059625</v>
      </c>
      <c r="E8" s="8" t="n">
        <f aca="false">E7+D8</f>
        <v>0.995801611353389</v>
      </c>
      <c r="F8" s="7" t="str">
        <f aca="false">IF(E8&lt;=0.7,"A",IF(E8&lt;=0.9,"B","C"))</f>
        <v>C</v>
      </c>
      <c r="G8" s="7" t="n">
        <v>2419</v>
      </c>
      <c r="H8" s="7" t="n">
        <v>50</v>
      </c>
    </row>
    <row r="9" customFormat="false" ht="15" hidden="false" customHeight="false" outlineLevel="0" collapsed="false">
      <c r="A9" s="7" t="n">
        <v>8</v>
      </c>
      <c r="B9" s="7" t="s">
        <v>952</v>
      </c>
      <c r="C9" s="7" t="n">
        <v>38.6</v>
      </c>
      <c r="D9" s="8" t="n">
        <f aca="false">C9/SUM($C$2:$C$13)</f>
        <v>0.00190208687510779</v>
      </c>
      <c r="E9" s="8" t="n">
        <f aca="false">E8+D9</f>
        <v>0.997703698228497</v>
      </c>
      <c r="F9" s="7" t="str">
        <f aca="false">IF(E9&lt;=0.7,"A",IF(E9&lt;=0.9,"B","C"))</f>
        <v>C</v>
      </c>
      <c r="G9" s="7" t="n">
        <v>2187</v>
      </c>
      <c r="H9" s="7" t="n">
        <v>100</v>
      </c>
    </row>
    <row r="10" customFormat="false" ht="15" hidden="false" customHeight="false" outlineLevel="0" collapsed="false">
      <c r="A10" s="7" t="n">
        <v>9</v>
      </c>
      <c r="B10" s="7" t="s">
        <v>953</v>
      </c>
      <c r="C10" s="7" t="n">
        <v>36.8</v>
      </c>
      <c r="D10" s="8" t="n">
        <f aca="false">C10/SUM($C$2:$C$13)</f>
        <v>0.00181338852341883</v>
      </c>
      <c r="E10" s="8" t="n">
        <f aca="false">E9+D10</f>
        <v>0.999517086751916</v>
      </c>
      <c r="F10" s="7" t="str">
        <f aca="false">IF(E10&lt;=0.7,"A",IF(E10&lt;=0.9,"B","C"))</f>
        <v>C</v>
      </c>
      <c r="G10" s="7" t="n">
        <v>277</v>
      </c>
      <c r="H10" s="7" t="n">
        <v>1450</v>
      </c>
    </row>
    <row r="11" customFormat="false" ht="15" hidden="false" customHeight="false" outlineLevel="0" collapsed="false">
      <c r="A11" s="7" t="n">
        <v>10</v>
      </c>
      <c r="B11" s="7" t="s">
        <v>954</v>
      </c>
      <c r="C11" s="7" t="n">
        <v>4.1</v>
      </c>
      <c r="D11" s="8" t="n">
        <f aca="false">C11/SUM($C$2:$C$13)</f>
        <v>0.000202035134402641</v>
      </c>
      <c r="E11" s="8" t="n">
        <f aca="false">E10+D11</f>
        <v>0.999719121886319</v>
      </c>
      <c r="F11" s="7" t="str">
        <f aca="false">IF(E11&lt;=0.7,"A",IF(E11&lt;=0.9,"B","C"))</f>
        <v>C</v>
      </c>
      <c r="G11" s="7" t="n">
        <v>458</v>
      </c>
      <c r="H11" s="7" t="n">
        <v>50</v>
      </c>
    </row>
    <row r="12" customFormat="false" ht="15" hidden="false" customHeight="false" outlineLevel="0" collapsed="false">
      <c r="A12" s="7" t="n">
        <v>11</v>
      </c>
      <c r="B12" s="7" t="s">
        <v>955</v>
      </c>
      <c r="C12" s="7" t="n">
        <v>4.1</v>
      </c>
      <c r="D12" s="8" t="n">
        <f aca="false">C12/SUM($C$2:$C$13)</f>
        <v>0.000202035134402641</v>
      </c>
      <c r="E12" s="8" t="n">
        <f aca="false">E11+D12</f>
        <v>0.999921157020721</v>
      </c>
      <c r="F12" s="7" t="str">
        <f aca="false">IF(E12&lt;=0.7,"A",IF(E12&lt;=0.9,"B","C"))</f>
        <v>C</v>
      </c>
      <c r="G12" s="7" t="n">
        <v>1964</v>
      </c>
      <c r="H12" s="7" t="n">
        <v>50</v>
      </c>
    </row>
    <row r="13" customFormat="false" ht="15" hidden="false" customHeight="false" outlineLevel="0" collapsed="false">
      <c r="A13" s="7" t="n">
        <v>12</v>
      </c>
      <c r="B13" s="7" t="s">
        <v>956</v>
      </c>
      <c r="C13" s="7" t="n">
        <v>1.6</v>
      </c>
      <c r="D13" s="8" t="n">
        <f aca="false">C13/SUM($C$2:$C$13)</f>
        <v>7.88429792790795E-005</v>
      </c>
      <c r="E13" s="8" t="n">
        <f aca="false">E12+D13</f>
        <v>1</v>
      </c>
      <c r="F13" s="7" t="str">
        <f aca="false">IF(E13&lt;=0.7,"A",IF(E13&lt;=0.9,"B","C"))</f>
        <v>C</v>
      </c>
      <c r="G13" s="7" t="n">
        <v>1789</v>
      </c>
      <c r="H13" s="7" t="n">
        <v>0</v>
      </c>
    </row>
    <row r="14" customFormat="false" ht="15" hidden="false" customHeight="false" outlineLevel="0" collapsed="false">
      <c r="A14" s="9" t="n">
        <v>13</v>
      </c>
      <c r="B14" s="9" t="s">
        <v>957</v>
      </c>
      <c r="C14" s="9" t="n">
        <v>0</v>
      </c>
      <c r="D14" s="9"/>
      <c r="E14" s="9"/>
      <c r="F14" s="9" t="s">
        <v>196</v>
      </c>
      <c r="G14" s="9" t="n">
        <v>1276</v>
      </c>
      <c r="H14" s="9" t="n">
        <v>0</v>
      </c>
    </row>
  </sheetData>
  <conditionalFormatting sqref="F2:F14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958</v>
      </c>
      <c r="C2" s="7" t="n">
        <v>727.3</v>
      </c>
      <c r="D2" s="8" t="n">
        <f aca="false">C2/SUM($C$2:$C$9)</f>
        <v>0.718817948211109</v>
      </c>
      <c r="E2" s="8" t="n">
        <f aca="false">D2</f>
        <v>0.718817948211109</v>
      </c>
      <c r="F2" s="7" t="str">
        <f aca="false">IF(E2&lt;=0.7,"A",IF(E2&lt;=0.9,"B","C"))</f>
        <v>B</v>
      </c>
      <c r="G2" s="7" t="n">
        <v>2204</v>
      </c>
      <c r="H2" s="7" t="n">
        <v>1000</v>
      </c>
    </row>
    <row r="3" customFormat="false" ht="15" hidden="false" customHeight="false" outlineLevel="0" collapsed="false">
      <c r="A3" s="7" t="n">
        <v>2</v>
      </c>
      <c r="B3" s="7" t="s">
        <v>959</v>
      </c>
      <c r="C3" s="7" t="n">
        <v>138.6</v>
      </c>
      <c r="D3" s="8" t="n">
        <f aca="false">C3/SUM($C$2:$C$9)</f>
        <v>0.136983593595572</v>
      </c>
      <c r="E3" s="8" t="n">
        <f aca="false">E2+D3</f>
        <v>0.855801541806681</v>
      </c>
      <c r="F3" s="7" t="str">
        <f aca="false">IF(E3&lt;=0.7,"A",IF(E3&lt;=0.9,"B","C"))</f>
        <v>B</v>
      </c>
      <c r="G3" s="7" t="n">
        <v>256</v>
      </c>
      <c r="H3" s="7" t="n">
        <v>350</v>
      </c>
    </row>
    <row r="4" customFormat="false" ht="15" hidden="false" customHeight="false" outlineLevel="0" collapsed="false">
      <c r="A4" s="7" t="n">
        <v>3</v>
      </c>
      <c r="B4" s="7" t="s">
        <v>960</v>
      </c>
      <c r="C4" s="7" t="n">
        <v>68.6</v>
      </c>
      <c r="D4" s="8" t="n">
        <f aca="false">C4/SUM($C$2:$C$9)</f>
        <v>0.0677999604664954</v>
      </c>
      <c r="E4" s="8" t="n">
        <f aca="false">E3+D4</f>
        <v>0.923601502273177</v>
      </c>
      <c r="F4" s="7" t="str">
        <f aca="false">IF(E4&lt;=0.7,"A",IF(E4&lt;=0.9,"B","C"))</f>
        <v>C</v>
      </c>
      <c r="G4" s="7" t="n">
        <v>857</v>
      </c>
      <c r="H4" s="7" t="n">
        <v>0</v>
      </c>
    </row>
    <row r="5" customFormat="false" ht="15" hidden="false" customHeight="false" outlineLevel="0" collapsed="false">
      <c r="A5" s="7" t="n">
        <v>4</v>
      </c>
      <c r="B5" s="7" t="s">
        <v>961</v>
      </c>
      <c r="C5" s="7" t="n">
        <v>23.5</v>
      </c>
      <c r="D5" s="8" t="n">
        <f aca="false">C5/SUM($C$2:$C$9)</f>
        <v>0.0232259339790472</v>
      </c>
      <c r="E5" s="8" t="n">
        <f aca="false">E4+D5</f>
        <v>0.946827436252224</v>
      </c>
      <c r="F5" s="7" t="str">
        <f aca="false">IF(E5&lt;=0.7,"A",IF(E5&lt;=0.9,"B","C"))</f>
        <v>C</v>
      </c>
      <c r="G5" s="7" t="n">
        <v>494</v>
      </c>
      <c r="H5" s="7" t="n">
        <v>0</v>
      </c>
    </row>
    <row r="6" customFormat="false" ht="15" hidden="false" customHeight="false" outlineLevel="0" collapsed="false">
      <c r="A6" s="7" t="n">
        <v>5</v>
      </c>
      <c r="B6" s="7" t="s">
        <v>962</v>
      </c>
      <c r="C6" s="7" t="n">
        <v>18.1</v>
      </c>
      <c r="D6" s="8" t="n">
        <f aca="false">C6/SUM($C$2:$C$9)</f>
        <v>0.017888910851947</v>
      </c>
      <c r="E6" s="8" t="n">
        <f aca="false">E5+D6</f>
        <v>0.964716347104171</v>
      </c>
      <c r="F6" s="7" t="str">
        <f aca="false">IF(E6&lt;=0.7,"A",IF(E6&lt;=0.9,"B","C"))</f>
        <v>C</v>
      </c>
      <c r="G6" s="7" t="n">
        <v>47</v>
      </c>
      <c r="H6" s="7" t="n">
        <v>400</v>
      </c>
    </row>
    <row r="7" customFormat="false" ht="15" hidden="false" customHeight="false" outlineLevel="0" collapsed="false">
      <c r="A7" s="7" t="n">
        <v>6</v>
      </c>
      <c r="B7" s="7" t="s">
        <v>963</v>
      </c>
      <c r="C7" s="7" t="n">
        <v>16.2</v>
      </c>
      <c r="D7" s="8" t="n">
        <f aca="false">C7/SUM($C$2:$C$9)</f>
        <v>0.0160110693813007</v>
      </c>
      <c r="E7" s="8" t="n">
        <f aca="false">E6+D7</f>
        <v>0.980727416485472</v>
      </c>
      <c r="F7" s="7" t="str">
        <f aca="false">IF(E7&lt;=0.7,"A",IF(E7&lt;=0.9,"B","C"))</f>
        <v>C</v>
      </c>
      <c r="G7" s="7" t="n">
        <v>78</v>
      </c>
      <c r="H7" s="7" t="n">
        <v>50</v>
      </c>
    </row>
    <row r="8" customFormat="false" ht="15" hidden="false" customHeight="false" outlineLevel="0" collapsed="false">
      <c r="A8" s="7" t="n">
        <v>7</v>
      </c>
      <c r="B8" s="7" t="s">
        <v>964</v>
      </c>
      <c r="C8" s="7" t="n">
        <v>14.1</v>
      </c>
      <c r="D8" s="8" t="n">
        <f aca="false">C8/SUM($C$2:$C$9)</f>
        <v>0.0139355603874283</v>
      </c>
      <c r="E8" s="8" t="n">
        <f aca="false">E7+D8</f>
        <v>0.9946629768729</v>
      </c>
      <c r="F8" s="7" t="str">
        <f aca="false">IF(E8&lt;=0.7,"A",IF(E8&lt;=0.9,"B","C"))</f>
        <v>C</v>
      </c>
      <c r="G8" s="7" t="n">
        <v>23</v>
      </c>
      <c r="H8" s="7" t="n">
        <v>400</v>
      </c>
    </row>
    <row r="9" customFormat="false" ht="15" hidden="false" customHeight="false" outlineLevel="0" collapsed="false">
      <c r="A9" s="7" t="n">
        <v>8</v>
      </c>
      <c r="B9" s="7" t="s">
        <v>965</v>
      </c>
      <c r="C9" s="7" t="n">
        <v>5.4</v>
      </c>
      <c r="D9" s="8" t="n">
        <f aca="false">C9/SUM($C$2:$C$9)</f>
        <v>0.00533702312710022</v>
      </c>
      <c r="E9" s="8" t="n">
        <f aca="false">E8+D9</f>
        <v>1</v>
      </c>
      <c r="F9" s="7" t="str">
        <f aca="false">IF(E9&lt;=0.7,"A",IF(E9&lt;=0.9,"B","C"))</f>
        <v>C</v>
      </c>
      <c r="G9" s="7" t="n">
        <v>60</v>
      </c>
      <c r="H9" s="7" t="n">
        <v>50</v>
      </c>
    </row>
  </sheetData>
  <conditionalFormatting sqref="F2:F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customFormat="false" ht="15" hidden="false" customHeight="false" outlineLevel="0" collapsed="false">
      <c r="A2" s="7" t="n">
        <v>1</v>
      </c>
      <c r="B2" s="7" t="s">
        <v>966</v>
      </c>
      <c r="C2" s="7" t="n">
        <v>63041.9</v>
      </c>
      <c r="D2" s="8" t="n">
        <f aca="false">C2/SUM($C$2:$C$365)</f>
        <v>0.370682943924135</v>
      </c>
      <c r="E2" s="8" t="n">
        <f aca="false">D2</f>
        <v>0.370682943924135</v>
      </c>
      <c r="F2" s="7" t="str">
        <f aca="false">IF(E2&lt;=0.7,"A",IF(E2&lt;=0.9,"B","C"))</f>
        <v>A</v>
      </c>
      <c r="G2" s="7" t="n">
        <v>155735</v>
      </c>
      <c r="H2" s="7" t="n">
        <v>0</v>
      </c>
    </row>
    <row r="3" customFormat="false" ht="15" hidden="false" customHeight="false" outlineLevel="0" collapsed="false">
      <c r="A3" s="7" t="n">
        <v>2</v>
      </c>
      <c r="B3" s="7" t="s">
        <v>967</v>
      </c>
      <c r="C3" s="7" t="n">
        <v>7449.2</v>
      </c>
      <c r="D3" s="8" t="n">
        <f aca="false">C3/SUM($C$2:$C$365)</f>
        <v>0.0438008909293607</v>
      </c>
      <c r="E3" s="8" t="n">
        <f aca="false">E2+D3</f>
        <v>0.414483834853495</v>
      </c>
      <c r="F3" s="7" t="str">
        <f aca="false">IF(E3&lt;=0.7,"A",IF(E3&lt;=0.9,"B","C"))</f>
        <v>A</v>
      </c>
      <c r="G3" s="7" t="n">
        <v>144661</v>
      </c>
      <c r="H3" s="7" t="n">
        <v>150</v>
      </c>
    </row>
    <row r="4" customFormat="false" ht="15" hidden="false" customHeight="false" outlineLevel="0" collapsed="false">
      <c r="A4" s="7" t="n">
        <v>3</v>
      </c>
      <c r="B4" s="7" t="s">
        <v>968</v>
      </c>
      <c r="C4" s="7" t="n">
        <v>7174.3</v>
      </c>
      <c r="D4" s="8" t="n">
        <f aca="false">C4/SUM($C$2:$C$365)</f>
        <v>0.0421844938778006</v>
      </c>
      <c r="E4" s="8" t="n">
        <f aca="false">E3+D4</f>
        <v>0.456668328731296</v>
      </c>
      <c r="F4" s="7" t="str">
        <f aca="false">IF(E4&lt;=0.7,"A",IF(E4&lt;=0.9,"B","C"))</f>
        <v>A</v>
      </c>
      <c r="G4" s="7" t="n">
        <v>54943</v>
      </c>
      <c r="H4" s="7" t="n">
        <v>3400</v>
      </c>
    </row>
    <row r="5" customFormat="false" ht="15" hidden="false" customHeight="false" outlineLevel="0" collapsed="false">
      <c r="A5" s="7" t="n">
        <v>4</v>
      </c>
      <c r="B5" s="7" t="s">
        <v>969</v>
      </c>
      <c r="C5" s="7" t="n">
        <v>6656.2</v>
      </c>
      <c r="D5" s="8" t="n">
        <f aca="false">C5/SUM($C$2:$C$365)</f>
        <v>0.0391380940509062</v>
      </c>
      <c r="E5" s="8" t="n">
        <f aca="false">E4+D5</f>
        <v>0.495806422782202</v>
      </c>
      <c r="F5" s="7" t="str">
        <f aca="false">IF(E5&lt;=0.7,"A",IF(E5&lt;=0.9,"B","C"))</f>
        <v>A</v>
      </c>
      <c r="G5" s="7" t="n">
        <v>11116</v>
      </c>
      <c r="H5" s="7" t="n">
        <v>9900</v>
      </c>
    </row>
    <row r="6" customFormat="false" ht="15" hidden="false" customHeight="false" outlineLevel="0" collapsed="false">
      <c r="A6" s="7" t="n">
        <v>5</v>
      </c>
      <c r="B6" s="7" t="s">
        <v>970</v>
      </c>
      <c r="C6" s="7" t="n">
        <v>5978.4</v>
      </c>
      <c r="D6" s="8" t="n">
        <f aca="false">C6/SUM($C$2:$C$365)</f>
        <v>0.0351526669081364</v>
      </c>
      <c r="E6" s="8" t="n">
        <f aca="false">E5+D6</f>
        <v>0.530959089690339</v>
      </c>
      <c r="F6" s="7" t="str">
        <f aca="false">IF(E6&lt;=0.7,"A",IF(E6&lt;=0.9,"B","C"))</f>
        <v>A</v>
      </c>
      <c r="G6" s="7" t="n">
        <v>33992</v>
      </c>
      <c r="H6" s="7" t="n">
        <v>7850</v>
      </c>
    </row>
    <row r="7" customFormat="false" ht="15" hidden="false" customHeight="false" outlineLevel="0" collapsed="false">
      <c r="A7" s="7" t="n">
        <v>6</v>
      </c>
      <c r="B7" s="7" t="s">
        <v>971</v>
      </c>
      <c r="C7" s="7" t="n">
        <v>5817</v>
      </c>
      <c r="D7" s="8" t="n">
        <f aca="false">C7/SUM($C$2:$C$365)</f>
        <v>0.0342036436847032</v>
      </c>
      <c r="E7" s="8" t="n">
        <f aca="false">E6+D7</f>
        <v>0.565162733375042</v>
      </c>
      <c r="F7" s="7" t="str">
        <f aca="false">IF(E7&lt;=0.7,"A",IF(E7&lt;=0.9,"B","C"))</f>
        <v>A</v>
      </c>
      <c r="G7" s="7" t="n">
        <v>44350</v>
      </c>
      <c r="H7" s="7" t="n">
        <v>5800</v>
      </c>
    </row>
    <row r="8" customFormat="false" ht="15" hidden="false" customHeight="false" outlineLevel="0" collapsed="false">
      <c r="A8" s="7" t="n">
        <v>7</v>
      </c>
      <c r="B8" s="7" t="s">
        <v>972</v>
      </c>
      <c r="C8" s="7" t="n">
        <v>5772.7</v>
      </c>
      <c r="D8" s="8" t="n">
        <f aca="false">C8/SUM($C$2:$C$365)</f>
        <v>0.033943162093637</v>
      </c>
      <c r="E8" s="8" t="n">
        <f aca="false">E7+D8</f>
        <v>0.599105895468679</v>
      </c>
      <c r="F8" s="7" t="str">
        <f aca="false">IF(E8&lt;=0.7,"A",IF(E8&lt;=0.9,"B","C"))</f>
        <v>A</v>
      </c>
      <c r="G8" s="7" t="n">
        <v>33885</v>
      </c>
      <c r="H8" s="7" t="n">
        <v>15000</v>
      </c>
    </row>
    <row r="9" customFormat="false" ht="15" hidden="false" customHeight="false" outlineLevel="0" collapsed="false">
      <c r="A9" s="7" t="n">
        <v>8</v>
      </c>
      <c r="B9" s="7" t="s">
        <v>973</v>
      </c>
      <c r="C9" s="7" t="n">
        <v>5556.5</v>
      </c>
      <c r="D9" s="8" t="n">
        <f aca="false">C9/SUM($C$2:$C$365)</f>
        <v>0.0326719178501037</v>
      </c>
      <c r="E9" s="8" t="n">
        <f aca="false">E8+D9</f>
        <v>0.631777813318783</v>
      </c>
      <c r="F9" s="7" t="str">
        <f aca="false">IF(E9&lt;=0.7,"A",IF(E9&lt;=0.9,"B","C"))</f>
        <v>A</v>
      </c>
      <c r="G9" s="7" t="n">
        <v>47029</v>
      </c>
      <c r="H9" s="7" t="n">
        <v>5850</v>
      </c>
    </row>
    <row r="10" customFormat="false" ht="15" hidden="false" customHeight="false" outlineLevel="0" collapsed="false">
      <c r="A10" s="7" t="n">
        <v>9</v>
      </c>
      <c r="B10" s="7" t="s">
        <v>974</v>
      </c>
      <c r="C10" s="7" t="n">
        <v>5171.4</v>
      </c>
      <c r="D10" s="8" t="n">
        <f aca="false">C10/SUM($C$2:$C$365)</f>
        <v>0.0304075507909703</v>
      </c>
      <c r="E10" s="8" t="n">
        <f aca="false">E9+D10</f>
        <v>0.662185364109753</v>
      </c>
      <c r="F10" s="7" t="str">
        <f aca="false">IF(E10&lt;=0.7,"A",IF(E10&lt;=0.9,"B","C"))</f>
        <v>A</v>
      </c>
      <c r="G10" s="7" t="n">
        <v>46677</v>
      </c>
      <c r="H10" s="7" t="n">
        <v>0</v>
      </c>
    </row>
    <row r="11" customFormat="false" ht="15" hidden="false" customHeight="false" outlineLevel="0" collapsed="false">
      <c r="A11" s="7" t="n">
        <v>10</v>
      </c>
      <c r="B11" s="7" t="s">
        <v>975</v>
      </c>
      <c r="C11" s="7" t="n">
        <v>4335.4</v>
      </c>
      <c r="D11" s="8" t="n">
        <f aca="false">C11/SUM($C$2:$C$365)</f>
        <v>0.0254919162507585</v>
      </c>
      <c r="E11" s="8" t="n">
        <f aca="false">E10+D11</f>
        <v>0.687677280360511</v>
      </c>
      <c r="F11" s="7" t="str">
        <f aca="false">IF(E11&lt;=0.7,"A",IF(E11&lt;=0.9,"B","C"))</f>
        <v>A</v>
      </c>
      <c r="G11" s="7" t="n">
        <v>37632</v>
      </c>
      <c r="H11" s="7" t="n">
        <v>8500</v>
      </c>
    </row>
    <row r="12" customFormat="false" ht="15" hidden="false" customHeight="false" outlineLevel="0" collapsed="false">
      <c r="A12" s="7" t="n">
        <v>11</v>
      </c>
      <c r="B12" s="7" t="s">
        <v>976</v>
      </c>
      <c r="C12" s="7" t="n">
        <v>4014.1</v>
      </c>
      <c r="D12" s="8" t="n">
        <f aca="false">C12/SUM($C$2:$C$365)</f>
        <v>0.0236026897223254</v>
      </c>
      <c r="E12" s="8" t="n">
        <f aca="false">E11+D12</f>
        <v>0.711279970082837</v>
      </c>
      <c r="F12" s="7" t="str">
        <f aca="false">IF(E12&lt;=0.7,"A",IF(E12&lt;=0.9,"B","C"))</f>
        <v>B</v>
      </c>
      <c r="G12" s="7" t="n">
        <v>56296</v>
      </c>
      <c r="H12" s="7" t="n">
        <v>5750</v>
      </c>
    </row>
    <row r="13" customFormat="false" ht="15" hidden="false" customHeight="false" outlineLevel="0" collapsed="false">
      <c r="A13" s="7" t="n">
        <v>12</v>
      </c>
      <c r="B13" s="7" t="s">
        <v>977</v>
      </c>
      <c r="C13" s="7" t="n">
        <v>2948.9</v>
      </c>
      <c r="D13" s="8" t="n">
        <f aca="false">C13/SUM($C$2:$C$365)</f>
        <v>0.017339371645491</v>
      </c>
      <c r="E13" s="8" t="n">
        <f aca="false">E12+D13</f>
        <v>0.728619341728328</v>
      </c>
      <c r="F13" s="7" t="str">
        <f aca="false">IF(E13&lt;=0.7,"A",IF(E13&lt;=0.9,"B","C"))</f>
        <v>B</v>
      </c>
      <c r="G13" s="7" t="n">
        <v>36294</v>
      </c>
      <c r="H13" s="7" t="n">
        <v>10000</v>
      </c>
    </row>
    <row r="14" customFormat="false" ht="15" hidden="false" customHeight="false" outlineLevel="0" collapsed="false">
      <c r="A14" s="7" t="n">
        <v>13</v>
      </c>
      <c r="B14" s="7" t="s">
        <v>978</v>
      </c>
      <c r="C14" s="7" t="n">
        <v>2857.8</v>
      </c>
      <c r="D14" s="8" t="n">
        <f aca="false">C14/SUM($C$2:$C$365)</f>
        <v>0.0168037085993029</v>
      </c>
      <c r="E14" s="8" t="n">
        <f aca="false">E13+D14</f>
        <v>0.745423050327631</v>
      </c>
      <c r="F14" s="7" t="str">
        <f aca="false">IF(E14&lt;=0.7,"A",IF(E14&lt;=0.9,"B","C"))</f>
        <v>B</v>
      </c>
      <c r="G14" s="7" t="n">
        <v>12938</v>
      </c>
      <c r="H14" s="7" t="n">
        <v>31050</v>
      </c>
    </row>
    <row r="15" customFormat="false" ht="15" hidden="false" customHeight="false" outlineLevel="0" collapsed="false">
      <c r="A15" s="7" t="n">
        <v>14</v>
      </c>
      <c r="B15" s="7" t="s">
        <v>979</v>
      </c>
      <c r="C15" s="7" t="n">
        <v>2841.6</v>
      </c>
      <c r="D15" s="8" t="n">
        <f aca="false">C15/SUM($C$2:$C$365)</f>
        <v>0.0167084534802222</v>
      </c>
      <c r="E15" s="8" t="n">
        <f aca="false">E14+D15</f>
        <v>0.762131503807853</v>
      </c>
      <c r="F15" s="7" t="str">
        <f aca="false">IF(E15&lt;=0.7,"A",IF(E15&lt;=0.9,"B","C"))</f>
        <v>B</v>
      </c>
      <c r="G15" s="7" t="n">
        <v>18713</v>
      </c>
      <c r="H15" s="7" t="n">
        <v>6500</v>
      </c>
    </row>
    <row r="16" customFormat="false" ht="15" hidden="false" customHeight="false" outlineLevel="0" collapsed="false">
      <c r="A16" s="7" t="n">
        <v>15</v>
      </c>
      <c r="B16" s="7" t="s">
        <v>980</v>
      </c>
      <c r="C16" s="7" t="n">
        <v>2508.6</v>
      </c>
      <c r="D16" s="8" t="n">
        <f aca="false">C16/SUM($C$2:$C$365)</f>
        <v>0.0147504315880087</v>
      </c>
      <c r="E16" s="8" t="n">
        <f aca="false">E15+D16</f>
        <v>0.776881935395862</v>
      </c>
      <c r="F16" s="7" t="str">
        <f aca="false">IF(E16&lt;=0.7,"A",IF(E16&lt;=0.9,"B","C"))</f>
        <v>B</v>
      </c>
      <c r="G16" s="7" t="n">
        <v>31384</v>
      </c>
      <c r="H16" s="7" t="n">
        <v>7600</v>
      </c>
    </row>
    <row r="17" customFormat="false" ht="15" hidden="false" customHeight="false" outlineLevel="0" collapsed="false">
      <c r="A17" s="7" t="n">
        <v>16</v>
      </c>
      <c r="B17" s="7" t="s">
        <v>981</v>
      </c>
      <c r="C17" s="7" t="n">
        <v>2234.6</v>
      </c>
      <c r="D17" s="8" t="n">
        <f aca="false">C17/SUM($C$2:$C$365)</f>
        <v>0.0131393264875086</v>
      </c>
      <c r="E17" s="8" t="n">
        <f aca="false">E16+D17</f>
        <v>0.79002126188337</v>
      </c>
      <c r="F17" s="7" t="str">
        <f aca="false">IF(E17&lt;=0.7,"A",IF(E17&lt;=0.9,"B","C"))</f>
        <v>B</v>
      </c>
      <c r="G17" s="7" t="n">
        <v>56845</v>
      </c>
      <c r="H17" s="7" t="n">
        <v>0</v>
      </c>
    </row>
    <row r="18" customFormat="false" ht="15" hidden="false" customHeight="false" outlineLevel="0" collapsed="false">
      <c r="A18" s="7" t="n">
        <v>17</v>
      </c>
      <c r="B18" s="7" t="s">
        <v>982</v>
      </c>
      <c r="C18" s="7" t="n">
        <v>2163.5</v>
      </c>
      <c r="D18" s="8" t="n">
        <f aca="false">C18/SUM($C$2:$C$365)</f>
        <v>0.0127212623537658</v>
      </c>
      <c r="E18" s="8" t="n">
        <f aca="false">E17+D18</f>
        <v>0.802742524237136</v>
      </c>
      <c r="F18" s="7" t="str">
        <f aca="false">IF(E18&lt;=0.7,"A",IF(E18&lt;=0.9,"B","C"))</f>
        <v>B</v>
      </c>
      <c r="G18" s="7" t="n">
        <v>43105</v>
      </c>
      <c r="H18" s="7" t="n">
        <v>5450</v>
      </c>
    </row>
    <row r="19" customFormat="false" ht="15" hidden="false" customHeight="false" outlineLevel="0" collapsed="false">
      <c r="A19" s="7" t="n">
        <v>18</v>
      </c>
      <c r="B19" s="7" t="s">
        <v>983</v>
      </c>
      <c r="C19" s="7" t="n">
        <v>1759.7</v>
      </c>
      <c r="D19" s="8" t="n">
        <f aca="false">C19/SUM($C$2:$C$365)</f>
        <v>0.010346940311496</v>
      </c>
      <c r="E19" s="8" t="n">
        <f aca="false">E18+D19</f>
        <v>0.813089464548632</v>
      </c>
      <c r="F19" s="7" t="str">
        <f aca="false">IF(E19&lt;=0.7,"A",IF(E19&lt;=0.9,"B","C"))</f>
        <v>B</v>
      </c>
      <c r="G19" s="7" t="n">
        <v>2256</v>
      </c>
      <c r="H19" s="7" t="n">
        <v>20000</v>
      </c>
    </row>
    <row r="20" customFormat="false" ht="15" hidden="false" customHeight="false" outlineLevel="0" collapsed="false">
      <c r="A20" s="7" t="n">
        <v>19</v>
      </c>
      <c r="B20" s="7" t="s">
        <v>984</v>
      </c>
      <c r="C20" s="7" t="n">
        <v>1563.2</v>
      </c>
      <c r="D20" s="8" t="n">
        <f aca="false">C20/SUM($C$2:$C$365)</f>
        <v>0.00919153099672134</v>
      </c>
      <c r="E20" s="8" t="n">
        <f aca="false">E19+D20</f>
        <v>0.822280995545353</v>
      </c>
      <c r="F20" s="7" t="str">
        <f aca="false">IF(E20&lt;=0.7,"A",IF(E20&lt;=0.9,"B","C"))</f>
        <v>B</v>
      </c>
      <c r="G20" s="7" t="n">
        <v>4216</v>
      </c>
      <c r="H20" s="7" t="n">
        <v>4000</v>
      </c>
    </row>
    <row r="21" customFormat="false" ht="15" hidden="false" customHeight="false" outlineLevel="0" collapsed="false">
      <c r="A21" s="7" t="n">
        <v>20</v>
      </c>
      <c r="B21" s="7" t="s">
        <v>985</v>
      </c>
      <c r="C21" s="7" t="n">
        <v>1563</v>
      </c>
      <c r="D21" s="8" t="n">
        <f aca="false">C21/SUM($C$2:$C$365)</f>
        <v>0.00919035500759689</v>
      </c>
      <c r="E21" s="8" t="n">
        <f aca="false">E20+D21</f>
        <v>0.83147135055295</v>
      </c>
      <c r="F21" s="7" t="str">
        <f aca="false">IF(E21&lt;=0.7,"A",IF(E21&lt;=0.9,"B","C"))</f>
        <v>B</v>
      </c>
      <c r="G21" s="7" t="n">
        <v>43370</v>
      </c>
      <c r="H21" s="7" t="n">
        <v>2700</v>
      </c>
    </row>
    <row r="22" customFormat="false" ht="15" hidden="false" customHeight="false" outlineLevel="0" collapsed="false">
      <c r="A22" s="7" t="n">
        <v>21</v>
      </c>
      <c r="B22" s="7" t="s">
        <v>986</v>
      </c>
      <c r="C22" s="7" t="n">
        <v>1408.6</v>
      </c>
      <c r="D22" s="8" t="n">
        <f aca="false">C22/SUM($C$2:$C$365)</f>
        <v>0.0082824914035195</v>
      </c>
      <c r="E22" s="8" t="n">
        <f aca="false">E21+D22</f>
        <v>0.83975384195647</v>
      </c>
      <c r="F22" s="7" t="str">
        <f aca="false">IF(E22&lt;=0.7,"A",IF(E22&lt;=0.9,"B","C"))</f>
        <v>B</v>
      </c>
      <c r="G22" s="7" t="n">
        <v>3733</v>
      </c>
      <c r="H22" s="7" t="n">
        <v>0</v>
      </c>
    </row>
    <row r="23" customFormat="false" ht="15" hidden="false" customHeight="false" outlineLevel="0" collapsed="false">
      <c r="A23" s="7" t="n">
        <v>22</v>
      </c>
      <c r="B23" s="7" t="s">
        <v>987</v>
      </c>
      <c r="C23" s="7" t="n">
        <v>1312.7</v>
      </c>
      <c r="D23" s="8" t="n">
        <f aca="false">C23/SUM($C$2:$C$365)</f>
        <v>0.00771860461834449</v>
      </c>
      <c r="E23" s="8" t="n">
        <f aca="false">E22+D23</f>
        <v>0.847472446574814</v>
      </c>
      <c r="F23" s="7" t="str">
        <f aca="false">IF(E23&lt;=0.7,"A",IF(E23&lt;=0.9,"B","C"))</f>
        <v>B</v>
      </c>
      <c r="G23" s="7" t="n">
        <v>2754</v>
      </c>
      <c r="H23" s="7" t="n">
        <v>2250</v>
      </c>
    </row>
    <row r="24" customFormat="false" ht="15" hidden="false" customHeight="false" outlineLevel="0" collapsed="false">
      <c r="A24" s="7" t="n">
        <v>23</v>
      </c>
      <c r="B24" s="7" t="s">
        <v>988</v>
      </c>
      <c r="C24" s="7" t="n">
        <v>1101.1</v>
      </c>
      <c r="D24" s="8" t="n">
        <f aca="false">C24/SUM($C$2:$C$365)</f>
        <v>0.00647440812467366</v>
      </c>
      <c r="E24" s="8" t="n">
        <f aca="false">E23+D24</f>
        <v>0.853946854699488</v>
      </c>
      <c r="F24" s="7" t="str">
        <f aca="false">IF(E24&lt;=0.7,"A",IF(E24&lt;=0.9,"B","C"))</f>
        <v>B</v>
      </c>
      <c r="G24" s="7" t="n">
        <v>7524</v>
      </c>
      <c r="H24" s="7" t="n">
        <v>1950</v>
      </c>
    </row>
    <row r="25" customFormat="false" ht="15" hidden="false" customHeight="false" outlineLevel="0" collapsed="false">
      <c r="A25" s="7" t="n">
        <v>24</v>
      </c>
      <c r="B25" s="7" t="s">
        <v>989</v>
      </c>
      <c r="C25" s="7" t="n">
        <v>855.4</v>
      </c>
      <c r="D25" s="8" t="n">
        <f aca="false">C25/SUM($C$2:$C$365)</f>
        <v>0.00502970548528367</v>
      </c>
      <c r="E25" s="8" t="n">
        <f aca="false">E24+D25</f>
        <v>0.858976560184772</v>
      </c>
      <c r="F25" s="7" t="str">
        <f aca="false">IF(E25&lt;=0.7,"A",IF(E25&lt;=0.9,"B","C"))</f>
        <v>B</v>
      </c>
      <c r="G25" s="7" t="n">
        <v>55484</v>
      </c>
      <c r="H25" s="7" t="n">
        <v>10000</v>
      </c>
    </row>
    <row r="26" customFormat="false" ht="15" hidden="false" customHeight="false" outlineLevel="0" collapsed="false">
      <c r="A26" s="7" t="n">
        <v>25</v>
      </c>
      <c r="B26" s="7" t="s">
        <v>990</v>
      </c>
      <c r="C26" s="7" t="n">
        <v>852.4</v>
      </c>
      <c r="D26" s="8" t="n">
        <f aca="false">C26/SUM($C$2:$C$365)</f>
        <v>0.00501206564841688</v>
      </c>
      <c r="E26" s="8" t="n">
        <f aca="false">E25+D26</f>
        <v>0.863988625833189</v>
      </c>
      <c r="F26" s="7" t="str">
        <f aca="false">IF(E26&lt;=0.7,"A",IF(E26&lt;=0.9,"B","C"))</f>
        <v>B</v>
      </c>
      <c r="G26" s="7" t="n">
        <v>11033</v>
      </c>
      <c r="H26" s="7" t="n">
        <v>1250</v>
      </c>
    </row>
    <row r="27" customFormat="false" ht="15" hidden="false" customHeight="false" outlineLevel="0" collapsed="false">
      <c r="A27" s="7" t="n">
        <v>26</v>
      </c>
      <c r="B27" s="7" t="s">
        <v>991</v>
      </c>
      <c r="C27" s="7" t="n">
        <v>820.3</v>
      </c>
      <c r="D27" s="8" t="n">
        <f aca="false">C27/SUM($C$2:$C$365)</f>
        <v>0.00482331939394225</v>
      </c>
      <c r="E27" s="8" t="n">
        <f aca="false">E26+D27</f>
        <v>0.868811945227131</v>
      </c>
      <c r="F27" s="7" t="str">
        <f aca="false">IF(E27&lt;=0.7,"A",IF(E27&lt;=0.9,"B","C"))</f>
        <v>B</v>
      </c>
      <c r="G27" s="7" t="n">
        <v>1569</v>
      </c>
      <c r="H27" s="7" t="n">
        <v>1800</v>
      </c>
    </row>
    <row r="28" customFormat="false" ht="15" hidden="false" customHeight="false" outlineLevel="0" collapsed="false">
      <c r="A28" s="7" t="n">
        <v>27</v>
      </c>
      <c r="B28" s="7" t="s">
        <v>992</v>
      </c>
      <c r="C28" s="7" t="n">
        <v>814.6</v>
      </c>
      <c r="D28" s="8" t="n">
        <f aca="false">C28/SUM($C$2:$C$365)</f>
        <v>0.00478980370389535</v>
      </c>
      <c r="E28" s="8" t="n">
        <f aca="false">E27+D28</f>
        <v>0.873601748931026</v>
      </c>
      <c r="F28" s="7" t="str">
        <f aca="false">IF(E28&lt;=0.7,"A",IF(E28&lt;=0.9,"B","C"))</f>
        <v>B</v>
      </c>
      <c r="G28" s="7" t="n">
        <v>986</v>
      </c>
      <c r="H28" s="7" t="n">
        <v>4000</v>
      </c>
    </row>
    <row r="29" customFormat="false" ht="15" hidden="false" customHeight="false" outlineLevel="0" collapsed="false">
      <c r="A29" s="7" t="n">
        <v>28</v>
      </c>
      <c r="B29" s="7" t="s">
        <v>993</v>
      </c>
      <c r="C29" s="7" t="n">
        <v>708.9</v>
      </c>
      <c r="D29" s="8" t="n">
        <f aca="false">C29/SUM($C$2:$C$365)</f>
        <v>0.00416829345162216</v>
      </c>
      <c r="E29" s="8" t="n">
        <f aca="false">E28+D29</f>
        <v>0.877770042382648</v>
      </c>
      <c r="F29" s="7" t="str">
        <f aca="false">IF(E29&lt;=0.7,"A",IF(E29&lt;=0.9,"B","C"))</f>
        <v>B</v>
      </c>
      <c r="G29" s="7" t="n">
        <v>44248</v>
      </c>
      <c r="H29" s="7" t="n">
        <v>1100</v>
      </c>
    </row>
    <row r="30" customFormat="false" ht="15" hidden="false" customHeight="false" outlineLevel="0" collapsed="false">
      <c r="A30" s="7" t="n">
        <v>29</v>
      </c>
      <c r="B30" s="7" t="s">
        <v>994</v>
      </c>
      <c r="C30" s="7" t="n">
        <v>690.8</v>
      </c>
      <c r="D30" s="8" t="n">
        <f aca="false">C30/SUM($C$2:$C$365)</f>
        <v>0.0040618664358592</v>
      </c>
      <c r="E30" s="8" t="n">
        <f aca="false">E29+D30</f>
        <v>0.881831908818507</v>
      </c>
      <c r="F30" s="7" t="str">
        <f aca="false">IF(E30&lt;=0.7,"A",IF(E30&lt;=0.9,"B","C"))</f>
        <v>B</v>
      </c>
      <c r="G30" s="7" t="n">
        <v>27205</v>
      </c>
      <c r="H30" s="7" t="n">
        <v>15000</v>
      </c>
    </row>
    <row r="31" customFormat="false" ht="15" hidden="false" customHeight="false" outlineLevel="0" collapsed="false">
      <c r="A31" s="7" t="n">
        <v>30</v>
      </c>
      <c r="B31" s="7" t="s">
        <v>995</v>
      </c>
      <c r="C31" s="7" t="n">
        <v>638.1</v>
      </c>
      <c r="D31" s="8" t="n">
        <f aca="false">C31/SUM($C$2:$C$365)</f>
        <v>0.00375199330156595</v>
      </c>
      <c r="E31" s="8" t="n">
        <f aca="false">E30+D31</f>
        <v>0.885583902120073</v>
      </c>
      <c r="F31" s="7" t="str">
        <f aca="false">IF(E31&lt;=0.7,"A",IF(E31&lt;=0.9,"B","C"))</f>
        <v>B</v>
      </c>
      <c r="G31" s="7" t="n">
        <v>96</v>
      </c>
      <c r="H31" s="7" t="n">
        <v>1300</v>
      </c>
    </row>
    <row r="32" customFormat="false" ht="15" hidden="false" customHeight="false" outlineLevel="0" collapsed="false">
      <c r="A32" s="7" t="n">
        <v>31</v>
      </c>
      <c r="B32" s="7" t="s">
        <v>996</v>
      </c>
      <c r="C32" s="7" t="n">
        <v>632.7</v>
      </c>
      <c r="D32" s="8" t="n">
        <f aca="false">C32/SUM($C$2:$C$365)</f>
        <v>0.00372024159520573</v>
      </c>
      <c r="E32" s="8" t="n">
        <f aca="false">E31+D32</f>
        <v>0.889304143715279</v>
      </c>
      <c r="F32" s="7" t="str">
        <f aca="false">IF(E32&lt;=0.7,"A",IF(E32&lt;=0.9,"B","C"))</f>
        <v>B</v>
      </c>
      <c r="G32" s="7" t="n">
        <v>17740</v>
      </c>
      <c r="H32" s="7" t="n">
        <v>1950</v>
      </c>
    </row>
    <row r="33" customFormat="false" ht="15" hidden="false" customHeight="false" outlineLevel="0" collapsed="false">
      <c r="A33" s="7" t="n">
        <v>32</v>
      </c>
      <c r="B33" s="7" t="s">
        <v>997</v>
      </c>
      <c r="C33" s="7" t="n">
        <v>600.3</v>
      </c>
      <c r="D33" s="8" t="n">
        <f aca="false">C33/SUM($C$2:$C$365)</f>
        <v>0.00352973135704441</v>
      </c>
      <c r="E33" s="8" t="n">
        <f aca="false">E32+D33</f>
        <v>0.892833875072323</v>
      </c>
      <c r="F33" s="7" t="str">
        <f aca="false">IF(E33&lt;=0.7,"A",IF(E33&lt;=0.9,"B","C"))</f>
        <v>B</v>
      </c>
      <c r="G33" s="7" t="n">
        <v>17452</v>
      </c>
      <c r="H33" s="7" t="n">
        <v>10000</v>
      </c>
    </row>
    <row r="34" customFormat="false" ht="15" hidden="false" customHeight="false" outlineLevel="0" collapsed="false">
      <c r="A34" s="7" t="n">
        <v>33</v>
      </c>
      <c r="B34" s="7" t="s">
        <v>998</v>
      </c>
      <c r="C34" s="7" t="n">
        <v>563.5</v>
      </c>
      <c r="D34" s="8" t="n">
        <f aca="false">C34/SUM($C$2:$C$365)</f>
        <v>0.00331334935814514</v>
      </c>
      <c r="E34" s="8" t="n">
        <f aca="false">E33+D34</f>
        <v>0.896147224430469</v>
      </c>
      <c r="F34" s="7" t="str">
        <f aca="false">IF(E34&lt;=0.7,"A",IF(E34&lt;=0.9,"B","C"))</f>
        <v>B</v>
      </c>
      <c r="G34" s="7" t="n">
        <v>4615</v>
      </c>
      <c r="H34" s="7" t="n">
        <v>1000</v>
      </c>
    </row>
    <row r="35" customFormat="false" ht="15" hidden="false" customHeight="false" outlineLevel="0" collapsed="false">
      <c r="A35" s="7" t="n">
        <v>34</v>
      </c>
      <c r="B35" s="7" t="s">
        <v>999</v>
      </c>
      <c r="C35" s="7" t="n">
        <v>523.2</v>
      </c>
      <c r="D35" s="8" t="n">
        <f aca="false">C35/SUM($C$2:$C$365)</f>
        <v>0.00307638754956794</v>
      </c>
      <c r="E35" s="8" t="n">
        <f aca="false">E34+D35</f>
        <v>0.899223611980036</v>
      </c>
      <c r="F35" s="7" t="str">
        <f aca="false">IF(E35&lt;=0.7,"A",IF(E35&lt;=0.9,"B","C"))</f>
        <v>B</v>
      </c>
      <c r="G35" s="7" t="n">
        <v>6296</v>
      </c>
      <c r="H35" s="7" t="n">
        <v>800</v>
      </c>
    </row>
    <row r="36" customFormat="false" ht="15" hidden="false" customHeight="false" outlineLevel="0" collapsed="false">
      <c r="A36" s="7" t="n">
        <v>35</v>
      </c>
      <c r="B36" s="7" t="s">
        <v>1000</v>
      </c>
      <c r="C36" s="7" t="n">
        <v>522.7</v>
      </c>
      <c r="D36" s="8" t="n">
        <f aca="false">C36/SUM($C$2:$C$365)</f>
        <v>0.00307344757675681</v>
      </c>
      <c r="E36" s="8" t="n">
        <f aca="false">E35+D36</f>
        <v>0.902297059556793</v>
      </c>
      <c r="F36" s="7" t="str">
        <f aca="false">IF(E36&lt;=0.7,"A",IF(E36&lt;=0.9,"B","C"))</f>
        <v>C</v>
      </c>
      <c r="G36" s="7" t="n">
        <v>223</v>
      </c>
      <c r="H36" s="7" t="n">
        <v>300</v>
      </c>
    </row>
    <row r="37" customFormat="false" ht="15" hidden="false" customHeight="false" outlineLevel="0" collapsed="false">
      <c r="A37" s="7" t="n">
        <v>36</v>
      </c>
      <c r="B37" s="7" t="s">
        <v>1001</v>
      </c>
      <c r="C37" s="7" t="n">
        <v>513.5</v>
      </c>
      <c r="D37" s="8" t="n">
        <f aca="false">C37/SUM($C$2:$C$365)</f>
        <v>0.00301935207703199</v>
      </c>
      <c r="E37" s="8" t="n">
        <f aca="false">E36+D37</f>
        <v>0.905316411633825</v>
      </c>
      <c r="F37" s="7" t="str">
        <f aca="false">IF(E37&lt;=0.7,"A",IF(E37&lt;=0.9,"B","C"))</f>
        <v>C</v>
      </c>
      <c r="G37" s="7" t="n">
        <v>8098</v>
      </c>
      <c r="H37" s="7" t="n">
        <v>50</v>
      </c>
    </row>
    <row r="38" customFormat="false" ht="15" hidden="false" customHeight="false" outlineLevel="0" collapsed="false">
      <c r="A38" s="7" t="n">
        <v>37</v>
      </c>
      <c r="B38" s="7" t="s">
        <v>1002</v>
      </c>
      <c r="C38" s="7" t="n">
        <v>499.5</v>
      </c>
      <c r="D38" s="8" t="n">
        <f aca="false">C38/SUM($C$2:$C$365)</f>
        <v>0.00293703283832031</v>
      </c>
      <c r="E38" s="8" t="n">
        <f aca="false">E37+D38</f>
        <v>0.908253444472146</v>
      </c>
      <c r="F38" s="7" t="str">
        <f aca="false">IF(E38&lt;=0.7,"A",IF(E38&lt;=0.9,"B","C"))</f>
        <v>C</v>
      </c>
      <c r="G38" s="7" t="n">
        <v>1037</v>
      </c>
      <c r="H38" s="7" t="n">
        <v>650</v>
      </c>
    </row>
    <row r="39" customFormat="false" ht="15" hidden="false" customHeight="false" outlineLevel="0" collapsed="false">
      <c r="A39" s="7" t="n">
        <v>38</v>
      </c>
      <c r="B39" s="7" t="s">
        <v>1003</v>
      </c>
      <c r="C39" s="7" t="n">
        <v>488.6</v>
      </c>
      <c r="D39" s="8" t="n">
        <f aca="false">C39/SUM($C$2:$C$365)</f>
        <v>0.00287294143103765</v>
      </c>
      <c r="E39" s="8" t="n">
        <f aca="false">E38+D39</f>
        <v>0.911126385903183</v>
      </c>
      <c r="F39" s="7" t="str">
        <f aca="false">IF(E39&lt;=0.7,"A",IF(E39&lt;=0.9,"B","C"))</f>
        <v>C</v>
      </c>
      <c r="G39" s="7" t="n">
        <v>3979</v>
      </c>
      <c r="H39" s="7" t="n">
        <v>600</v>
      </c>
    </row>
    <row r="40" customFormat="false" ht="15" hidden="false" customHeight="false" outlineLevel="0" collapsed="false">
      <c r="A40" s="7" t="n">
        <v>39</v>
      </c>
      <c r="B40" s="7" t="s">
        <v>1004</v>
      </c>
      <c r="C40" s="7" t="n">
        <v>458.4</v>
      </c>
      <c r="D40" s="8" t="n">
        <f aca="false">C40/SUM($C$2:$C$365)</f>
        <v>0.00269536707324531</v>
      </c>
      <c r="E40" s="8" t="n">
        <f aca="false">E39+D40</f>
        <v>0.913821752976429</v>
      </c>
      <c r="F40" s="7" t="str">
        <f aca="false">IF(E40&lt;=0.7,"A",IF(E40&lt;=0.9,"B","C"))</f>
        <v>C</v>
      </c>
      <c r="G40" s="7" t="n">
        <v>30995</v>
      </c>
      <c r="H40" s="7" t="n">
        <v>15000</v>
      </c>
    </row>
    <row r="41" customFormat="false" ht="15" hidden="false" customHeight="false" outlineLevel="0" collapsed="false">
      <c r="A41" s="7" t="n">
        <v>40</v>
      </c>
      <c r="B41" s="7" t="s">
        <v>1005</v>
      </c>
      <c r="C41" s="7" t="n">
        <v>430.8</v>
      </c>
      <c r="D41" s="8" t="n">
        <f aca="false">C41/SUM($C$2:$C$365)</f>
        <v>0.00253308057407085</v>
      </c>
      <c r="E41" s="8" t="n">
        <f aca="false">E40+D41</f>
        <v>0.916354833550499</v>
      </c>
      <c r="F41" s="7" t="str">
        <f aca="false">IF(E41&lt;=0.7,"A",IF(E41&lt;=0.9,"B","C"))</f>
        <v>C</v>
      </c>
      <c r="G41" s="7" t="n">
        <v>16375</v>
      </c>
      <c r="H41" s="7" t="n">
        <v>300</v>
      </c>
    </row>
    <row r="42" customFormat="false" ht="15" hidden="false" customHeight="false" outlineLevel="0" collapsed="false">
      <c r="A42" s="7" t="n">
        <v>41</v>
      </c>
      <c r="B42" s="7" t="s">
        <v>1006</v>
      </c>
      <c r="C42" s="7" t="n">
        <v>425.7</v>
      </c>
      <c r="D42" s="8" t="n">
        <f aca="false">C42/SUM($C$2:$C$365)</f>
        <v>0.00250309285139731</v>
      </c>
      <c r="E42" s="8" t="n">
        <f aca="false">E41+D42</f>
        <v>0.918857926401897</v>
      </c>
      <c r="F42" s="7" t="str">
        <f aca="false">IF(E42&lt;=0.7,"A",IF(E42&lt;=0.9,"B","C"))</f>
        <v>C</v>
      </c>
      <c r="G42" s="7" t="n">
        <v>6853</v>
      </c>
      <c r="H42" s="7" t="n">
        <v>0</v>
      </c>
    </row>
    <row r="43" customFormat="false" ht="15" hidden="false" customHeight="false" outlineLevel="0" collapsed="false">
      <c r="A43" s="7" t="n">
        <v>42</v>
      </c>
      <c r="B43" s="7" t="s">
        <v>1007</v>
      </c>
      <c r="C43" s="7" t="n">
        <v>406.8</v>
      </c>
      <c r="D43" s="8" t="n">
        <f aca="false">C43/SUM($C$2:$C$365)</f>
        <v>0.00239196187913654</v>
      </c>
      <c r="E43" s="8" t="n">
        <f aca="false">E42+D43</f>
        <v>0.921249888281033</v>
      </c>
      <c r="F43" s="7" t="str">
        <f aca="false">IF(E43&lt;=0.7,"A",IF(E43&lt;=0.9,"B","C"))</f>
        <v>C</v>
      </c>
      <c r="G43" s="7" t="n">
        <v>3613</v>
      </c>
      <c r="H43" s="7" t="n">
        <v>150</v>
      </c>
    </row>
    <row r="44" customFormat="false" ht="15" hidden="false" customHeight="false" outlineLevel="0" collapsed="false">
      <c r="A44" s="7" t="n">
        <v>43</v>
      </c>
      <c r="B44" s="7" t="s">
        <v>1008</v>
      </c>
      <c r="C44" s="7" t="n">
        <v>397.3</v>
      </c>
      <c r="D44" s="8" t="n">
        <f aca="false">C44/SUM($C$2:$C$365)</f>
        <v>0.00233610239572504</v>
      </c>
      <c r="E44" s="8" t="n">
        <f aca="false">E43+D44</f>
        <v>0.923585990676758</v>
      </c>
      <c r="F44" s="7" t="str">
        <f aca="false">IF(E44&lt;=0.7,"A",IF(E44&lt;=0.9,"B","C"))</f>
        <v>C</v>
      </c>
      <c r="G44" s="7" t="n">
        <v>897</v>
      </c>
      <c r="H44" s="7" t="n">
        <v>20000</v>
      </c>
    </row>
    <row r="45" customFormat="false" ht="15" hidden="false" customHeight="false" outlineLevel="0" collapsed="false">
      <c r="A45" s="7" t="n">
        <v>44</v>
      </c>
      <c r="B45" s="7" t="s">
        <v>1009</v>
      </c>
      <c r="C45" s="7" t="n">
        <v>373.2</v>
      </c>
      <c r="D45" s="8" t="n">
        <f aca="false">C45/SUM($C$2:$C$365)</f>
        <v>0.00219439570622851</v>
      </c>
      <c r="E45" s="8" t="n">
        <f aca="false">E44+D45</f>
        <v>0.925780386382987</v>
      </c>
      <c r="F45" s="7" t="str">
        <f aca="false">IF(E45&lt;=0.7,"A",IF(E45&lt;=0.9,"B","C"))</f>
        <v>C</v>
      </c>
      <c r="G45" s="7" t="n">
        <v>2899</v>
      </c>
      <c r="H45" s="7" t="n">
        <v>15000</v>
      </c>
    </row>
    <row r="46" customFormat="false" ht="15" hidden="false" customHeight="false" outlineLevel="0" collapsed="false">
      <c r="A46" s="7" t="n">
        <v>45</v>
      </c>
      <c r="B46" s="7" t="s">
        <v>1010</v>
      </c>
      <c r="C46" s="7" t="n">
        <v>364.9</v>
      </c>
      <c r="D46" s="8" t="n">
        <f aca="false">C46/SUM($C$2:$C$365)</f>
        <v>0.00214559215756373</v>
      </c>
      <c r="E46" s="8" t="n">
        <f aca="false">E45+D46</f>
        <v>0.927925978540551</v>
      </c>
      <c r="F46" s="7" t="str">
        <f aca="false">IF(E46&lt;=0.7,"A",IF(E46&lt;=0.9,"B","C"))</f>
        <v>C</v>
      </c>
      <c r="G46" s="7" t="n">
        <v>1527</v>
      </c>
      <c r="H46" s="7" t="n">
        <v>450</v>
      </c>
    </row>
    <row r="47" customFormat="false" ht="15" hidden="false" customHeight="false" outlineLevel="0" collapsed="false">
      <c r="A47" s="7" t="n">
        <v>46</v>
      </c>
      <c r="B47" s="7" t="s">
        <v>1011</v>
      </c>
      <c r="C47" s="7" t="n">
        <v>354.9</v>
      </c>
      <c r="D47" s="8" t="n">
        <f aca="false">C47/SUM($C$2:$C$365)</f>
        <v>0.0020867927013411</v>
      </c>
      <c r="E47" s="8" t="n">
        <f aca="false">E46+D47</f>
        <v>0.930012771241892</v>
      </c>
      <c r="F47" s="7" t="str">
        <f aca="false">IF(E47&lt;=0.7,"A",IF(E47&lt;=0.9,"B","C"))</f>
        <v>C</v>
      </c>
      <c r="G47" s="7" t="n">
        <v>8529</v>
      </c>
      <c r="H47" s="7" t="n">
        <v>300</v>
      </c>
    </row>
    <row r="48" customFormat="false" ht="15" hidden="false" customHeight="false" outlineLevel="0" collapsed="false">
      <c r="A48" s="7" t="n">
        <v>47</v>
      </c>
      <c r="B48" s="7" t="s">
        <v>1012</v>
      </c>
      <c r="C48" s="7" t="n">
        <v>327</v>
      </c>
      <c r="D48" s="8" t="n">
        <f aca="false">C48/SUM($C$2:$C$365)</f>
        <v>0.00192274221847996</v>
      </c>
      <c r="E48" s="8" t="n">
        <f aca="false">E47+D48</f>
        <v>0.931935513460372</v>
      </c>
      <c r="F48" s="7" t="str">
        <f aca="false">IF(E48&lt;=0.7,"A",IF(E48&lt;=0.9,"B","C"))</f>
        <v>C</v>
      </c>
      <c r="G48" s="7" t="n">
        <v>5035</v>
      </c>
      <c r="H48" s="7" t="n">
        <v>850</v>
      </c>
    </row>
    <row r="49" customFormat="false" ht="15" hidden="false" customHeight="false" outlineLevel="0" collapsed="false">
      <c r="A49" s="7" t="n">
        <v>48</v>
      </c>
      <c r="B49" s="7" t="s">
        <v>1013</v>
      </c>
      <c r="C49" s="7" t="n">
        <v>325.4</v>
      </c>
      <c r="D49" s="8" t="n">
        <f aca="false">C49/SUM($C$2:$C$365)</f>
        <v>0.00191333430548434</v>
      </c>
      <c r="E49" s="8" t="n">
        <f aca="false">E48+D49</f>
        <v>0.933848847765856</v>
      </c>
      <c r="F49" s="7" t="str">
        <f aca="false">IF(E49&lt;=0.7,"A",IF(E49&lt;=0.9,"B","C"))</f>
        <v>C</v>
      </c>
      <c r="G49" s="7" t="n">
        <v>2275</v>
      </c>
      <c r="H49" s="7" t="n">
        <v>500</v>
      </c>
    </row>
    <row r="50" customFormat="false" ht="15" hidden="false" customHeight="false" outlineLevel="0" collapsed="false">
      <c r="A50" s="7" t="n">
        <v>49</v>
      </c>
      <c r="B50" s="7" t="s">
        <v>1014</v>
      </c>
      <c r="C50" s="7" t="n">
        <v>324.1</v>
      </c>
      <c r="D50" s="8" t="n">
        <f aca="false">C50/SUM($C$2:$C$365)</f>
        <v>0.0019056903761754</v>
      </c>
      <c r="E50" s="8" t="n">
        <f aca="false">E49+D50</f>
        <v>0.935754538142031</v>
      </c>
      <c r="F50" s="7" t="str">
        <f aca="false">IF(E50&lt;=0.7,"A",IF(E50&lt;=0.9,"B","C"))</f>
        <v>C</v>
      </c>
      <c r="G50" s="7" t="n">
        <v>9798</v>
      </c>
      <c r="H50" s="7" t="n">
        <v>700</v>
      </c>
    </row>
    <row r="51" customFormat="false" ht="15" hidden="false" customHeight="false" outlineLevel="0" collapsed="false">
      <c r="A51" s="7" t="n">
        <v>50</v>
      </c>
      <c r="B51" s="7" t="s">
        <v>1015</v>
      </c>
      <c r="C51" s="7" t="n">
        <v>310</v>
      </c>
      <c r="D51" s="8" t="n">
        <f aca="false">C51/SUM($C$2:$C$365)</f>
        <v>0.00182278314290149</v>
      </c>
      <c r="E51" s="8" t="n">
        <f aca="false">E50+D51</f>
        <v>0.937577321284933</v>
      </c>
      <c r="F51" s="7" t="str">
        <f aca="false">IF(E51&lt;=0.7,"A",IF(E51&lt;=0.9,"B","C"))</f>
        <v>C</v>
      </c>
      <c r="G51" s="7" t="n">
        <v>49016</v>
      </c>
      <c r="H51" s="7" t="n">
        <v>1150</v>
      </c>
    </row>
    <row r="52" customFormat="false" ht="15" hidden="false" customHeight="false" outlineLevel="0" collapsed="false">
      <c r="A52" s="7" t="n">
        <v>51</v>
      </c>
      <c r="B52" s="7" t="s">
        <v>1016</v>
      </c>
      <c r="C52" s="7" t="n">
        <v>307.6</v>
      </c>
      <c r="D52" s="8" t="n">
        <f aca="false">C52/SUM($C$2:$C$365)</f>
        <v>0.00180867127340806</v>
      </c>
      <c r="E52" s="8" t="n">
        <f aca="false">E51+D52</f>
        <v>0.939385992558341</v>
      </c>
      <c r="F52" s="7" t="str">
        <f aca="false">IF(E52&lt;=0.7,"A",IF(E52&lt;=0.9,"B","C"))</f>
        <v>C</v>
      </c>
      <c r="G52" s="7" t="n">
        <v>2888</v>
      </c>
      <c r="H52" s="7" t="n">
        <v>3000</v>
      </c>
    </row>
    <row r="53" customFormat="false" ht="15" hidden="false" customHeight="false" outlineLevel="0" collapsed="false">
      <c r="A53" s="7" t="n">
        <v>52</v>
      </c>
      <c r="B53" s="7" t="s">
        <v>1017</v>
      </c>
      <c r="C53" s="7" t="n">
        <v>301.1</v>
      </c>
      <c r="D53" s="8" t="n">
        <f aca="false">C53/SUM($C$2:$C$365)</f>
        <v>0.00177045162686335</v>
      </c>
      <c r="E53" s="8" t="n">
        <f aca="false">E52+D53</f>
        <v>0.941156444185204</v>
      </c>
      <c r="F53" s="7" t="str">
        <f aca="false">IF(E53&lt;=0.7,"A",IF(E53&lt;=0.9,"B","C"))</f>
        <v>C</v>
      </c>
      <c r="G53" s="7" t="n">
        <v>33667</v>
      </c>
      <c r="H53" s="7" t="n">
        <v>15000</v>
      </c>
    </row>
    <row r="54" customFormat="false" ht="15" hidden="false" customHeight="false" outlineLevel="0" collapsed="false">
      <c r="A54" s="7" t="n">
        <v>53</v>
      </c>
      <c r="B54" s="7" t="s">
        <v>1018</v>
      </c>
      <c r="C54" s="7" t="n">
        <v>250.8</v>
      </c>
      <c r="D54" s="8" t="n">
        <f aca="false">C54/SUM($C$2:$C$365)</f>
        <v>0.00147469036206353</v>
      </c>
      <c r="E54" s="8" t="n">
        <f aca="false">E53+D54</f>
        <v>0.942631134547268</v>
      </c>
      <c r="F54" s="7" t="str">
        <f aca="false">IF(E54&lt;=0.7,"A",IF(E54&lt;=0.9,"B","C"))</f>
        <v>C</v>
      </c>
      <c r="G54" s="7" t="n">
        <v>18801</v>
      </c>
      <c r="H54" s="7" t="n">
        <v>500</v>
      </c>
    </row>
    <row r="55" customFormat="false" ht="15" hidden="false" customHeight="false" outlineLevel="0" collapsed="false">
      <c r="A55" s="7" t="n">
        <v>54</v>
      </c>
      <c r="B55" s="7" t="s">
        <v>1019</v>
      </c>
      <c r="C55" s="7" t="n">
        <v>249.5</v>
      </c>
      <c r="D55" s="8" t="n">
        <f aca="false">C55/SUM($C$2:$C$365)</f>
        <v>0.00146704643275459</v>
      </c>
      <c r="E55" s="8" t="n">
        <f aca="false">E54+D55</f>
        <v>0.944098180980022</v>
      </c>
      <c r="F55" s="7" t="str">
        <f aca="false">IF(E55&lt;=0.7,"A",IF(E55&lt;=0.9,"B","C"))</f>
        <v>C</v>
      </c>
      <c r="G55" s="7" t="n">
        <v>6728</v>
      </c>
      <c r="H55" s="7" t="n">
        <v>350</v>
      </c>
    </row>
    <row r="56" customFormat="false" ht="15" hidden="false" customHeight="false" outlineLevel="0" collapsed="false">
      <c r="A56" s="7" t="n">
        <v>55</v>
      </c>
      <c r="B56" s="7" t="s">
        <v>1020</v>
      </c>
      <c r="C56" s="7" t="n">
        <v>244.1</v>
      </c>
      <c r="D56" s="8" t="n">
        <f aca="false">C56/SUM($C$2:$C$365)</f>
        <v>0.00143529472639437</v>
      </c>
      <c r="E56" s="8" t="n">
        <f aca="false">E55+D56</f>
        <v>0.945533475706417</v>
      </c>
      <c r="F56" s="7" t="str">
        <f aca="false">IF(E56&lt;=0.7,"A",IF(E56&lt;=0.9,"B","C"))</f>
        <v>C</v>
      </c>
      <c r="G56" s="7" t="n">
        <v>1730</v>
      </c>
      <c r="H56" s="7" t="n">
        <v>350</v>
      </c>
    </row>
    <row r="57" customFormat="false" ht="15" hidden="false" customHeight="false" outlineLevel="0" collapsed="false">
      <c r="A57" s="7" t="n">
        <v>56</v>
      </c>
      <c r="B57" s="7" t="s">
        <v>1021</v>
      </c>
      <c r="C57" s="7" t="n">
        <v>235.1</v>
      </c>
      <c r="D57" s="8" t="n">
        <f aca="false">C57/SUM($C$2:$C$365)</f>
        <v>0.001382375215794</v>
      </c>
      <c r="E57" s="8" t="n">
        <f aca="false">E56+D57</f>
        <v>0.946915850922211</v>
      </c>
      <c r="F57" s="7" t="str">
        <f aca="false">IF(E57&lt;=0.7,"A",IF(E57&lt;=0.9,"B","C"))</f>
        <v>C</v>
      </c>
      <c r="G57" s="7" t="n">
        <v>19130</v>
      </c>
      <c r="H57" s="7" t="n">
        <v>0</v>
      </c>
    </row>
    <row r="58" customFormat="false" ht="15" hidden="false" customHeight="false" outlineLevel="0" collapsed="false">
      <c r="A58" s="7" t="n">
        <v>57</v>
      </c>
      <c r="B58" s="7" t="s">
        <v>1022</v>
      </c>
      <c r="C58" s="7" t="n">
        <v>213.8</v>
      </c>
      <c r="D58" s="8" t="n">
        <f aca="false">C58/SUM($C$2:$C$365)</f>
        <v>0.00125713237403981</v>
      </c>
      <c r="E58" s="8" t="n">
        <f aca="false">E57+D58</f>
        <v>0.948172983296251</v>
      </c>
      <c r="F58" s="7" t="str">
        <f aca="false">IF(E58&lt;=0.7,"A",IF(E58&lt;=0.9,"B","C"))</f>
        <v>C</v>
      </c>
      <c r="G58" s="7" t="n">
        <v>2</v>
      </c>
      <c r="H58" s="7" t="n">
        <v>0</v>
      </c>
    </row>
    <row r="59" customFormat="false" ht="15" hidden="false" customHeight="false" outlineLevel="0" collapsed="false">
      <c r="A59" s="7" t="n">
        <v>58</v>
      </c>
      <c r="B59" s="7" t="s">
        <v>1023</v>
      </c>
      <c r="C59" s="7" t="n">
        <v>210.5</v>
      </c>
      <c r="D59" s="8" t="n">
        <f aca="false">C59/SUM($C$2:$C$365)</f>
        <v>0.00123772855348634</v>
      </c>
      <c r="E59" s="8" t="n">
        <f aca="false">E58+D59</f>
        <v>0.949410711849737</v>
      </c>
      <c r="F59" s="7" t="str">
        <f aca="false">IF(E59&lt;=0.7,"A",IF(E59&lt;=0.9,"B","C"))</f>
        <v>C</v>
      </c>
      <c r="G59" s="7" t="n">
        <v>1566</v>
      </c>
      <c r="H59" s="7" t="n">
        <v>200</v>
      </c>
    </row>
    <row r="60" customFormat="false" ht="15" hidden="false" customHeight="false" outlineLevel="0" collapsed="false">
      <c r="A60" s="7" t="n">
        <v>59</v>
      </c>
      <c r="B60" s="7" t="s">
        <v>1024</v>
      </c>
      <c r="C60" s="7" t="n">
        <v>207</v>
      </c>
      <c r="D60" s="8" t="n">
        <f aca="false">C60/SUM($C$2:$C$365)</f>
        <v>0.00121714874380842</v>
      </c>
      <c r="E60" s="8" t="n">
        <f aca="false">E59+D60</f>
        <v>0.950627860593545</v>
      </c>
      <c r="F60" s="7" t="str">
        <f aca="false">IF(E60&lt;=0.7,"A",IF(E60&lt;=0.9,"B","C"))</f>
        <v>C</v>
      </c>
      <c r="G60" s="7" t="n">
        <v>1974</v>
      </c>
      <c r="H60" s="7" t="n">
        <v>200</v>
      </c>
    </row>
    <row r="61" customFormat="false" ht="15" hidden="false" customHeight="false" outlineLevel="0" collapsed="false">
      <c r="A61" s="7" t="n">
        <v>60</v>
      </c>
      <c r="B61" s="7" t="s">
        <v>1025</v>
      </c>
      <c r="C61" s="7" t="n">
        <v>195.7</v>
      </c>
      <c r="D61" s="8" t="n">
        <f aca="false">C61/SUM($C$2:$C$365)</f>
        <v>0.00115070535827685</v>
      </c>
      <c r="E61" s="8" t="n">
        <f aca="false">E60+D61</f>
        <v>0.951778565951822</v>
      </c>
      <c r="F61" s="7" t="str">
        <f aca="false">IF(E61&lt;=0.7,"A",IF(E61&lt;=0.9,"B","C"))</f>
        <v>C</v>
      </c>
      <c r="G61" s="7" t="n">
        <v>6521</v>
      </c>
      <c r="H61" s="7" t="n">
        <v>100</v>
      </c>
    </row>
    <row r="62" customFormat="false" ht="15" hidden="false" customHeight="false" outlineLevel="0" collapsed="false">
      <c r="A62" s="7" t="n">
        <v>61</v>
      </c>
      <c r="B62" s="7" t="s">
        <v>1026</v>
      </c>
      <c r="C62" s="7" t="n">
        <v>187.8</v>
      </c>
      <c r="D62" s="8" t="n">
        <f aca="false">C62/SUM($C$2:$C$365)</f>
        <v>0.00110425378786097</v>
      </c>
      <c r="E62" s="8" t="n">
        <f aca="false">E61+D62</f>
        <v>0.952882819739683</v>
      </c>
      <c r="F62" s="7" t="str">
        <f aca="false">IF(E62&lt;=0.7,"A",IF(E62&lt;=0.9,"B","C"))</f>
        <v>C</v>
      </c>
      <c r="G62" s="7" t="n">
        <v>9041</v>
      </c>
      <c r="H62" s="7" t="n">
        <v>50</v>
      </c>
    </row>
    <row r="63" customFormat="false" ht="15" hidden="false" customHeight="false" outlineLevel="0" collapsed="false">
      <c r="A63" s="7" t="n">
        <v>62</v>
      </c>
      <c r="B63" s="7" t="s">
        <v>1027</v>
      </c>
      <c r="C63" s="7" t="n">
        <v>187.8</v>
      </c>
      <c r="D63" s="8" t="n">
        <f aca="false">C63/SUM($C$2:$C$365)</f>
        <v>0.00110425378786097</v>
      </c>
      <c r="E63" s="8" t="n">
        <f aca="false">E62+D63</f>
        <v>0.953987073527544</v>
      </c>
      <c r="F63" s="7" t="str">
        <f aca="false">IF(E63&lt;=0.7,"A",IF(E63&lt;=0.9,"B","C"))</f>
        <v>C</v>
      </c>
      <c r="G63" s="7" t="n">
        <v>47</v>
      </c>
      <c r="H63" s="7" t="n">
        <v>0</v>
      </c>
    </row>
    <row r="64" customFormat="false" ht="15" hidden="false" customHeight="false" outlineLevel="0" collapsed="false">
      <c r="A64" s="7" t="n">
        <v>63</v>
      </c>
      <c r="B64" s="7" t="s">
        <v>1028</v>
      </c>
      <c r="C64" s="7" t="n">
        <v>183</v>
      </c>
      <c r="D64" s="8" t="n">
        <f aca="false">C64/SUM($C$2:$C$365)</f>
        <v>0.00107603004887411</v>
      </c>
      <c r="E64" s="8" t="n">
        <f aca="false">E63+D64</f>
        <v>0.955063103576418</v>
      </c>
      <c r="F64" s="7" t="str">
        <f aca="false">IF(E64&lt;=0.7,"A",IF(E64&lt;=0.9,"B","C"))</f>
        <v>C</v>
      </c>
      <c r="G64" s="7" t="n">
        <v>23269</v>
      </c>
      <c r="H64" s="7" t="n">
        <v>10000</v>
      </c>
    </row>
    <row r="65" customFormat="false" ht="15" hidden="false" customHeight="false" outlineLevel="0" collapsed="false">
      <c r="A65" s="7" t="n">
        <v>64</v>
      </c>
      <c r="B65" s="7" t="s">
        <v>1029</v>
      </c>
      <c r="C65" s="7" t="n">
        <v>174.3</v>
      </c>
      <c r="D65" s="8" t="n">
        <f aca="false">C65/SUM($C$2:$C$365)</f>
        <v>0.00102487452196042</v>
      </c>
      <c r="E65" s="8" t="n">
        <f aca="false">E64+D65</f>
        <v>0.956087978098379</v>
      </c>
      <c r="F65" s="7" t="str">
        <f aca="false">IF(E65&lt;=0.7,"A",IF(E65&lt;=0.9,"B","C"))</f>
        <v>C</v>
      </c>
      <c r="G65" s="7" t="n">
        <v>8649</v>
      </c>
      <c r="H65" s="7" t="n">
        <v>100</v>
      </c>
    </row>
    <row r="66" customFormat="false" ht="15" hidden="false" customHeight="false" outlineLevel="0" collapsed="false">
      <c r="A66" s="7" t="n">
        <v>65</v>
      </c>
      <c r="B66" s="7" t="s">
        <v>1030</v>
      </c>
      <c r="C66" s="7" t="n">
        <v>168.4</v>
      </c>
      <c r="D66" s="8" t="n">
        <f aca="false">C66/SUM($C$2:$C$365)</f>
        <v>0.00099018284278907</v>
      </c>
      <c r="E66" s="8" t="n">
        <f aca="false">E65+D66</f>
        <v>0.957078160941168</v>
      </c>
      <c r="F66" s="7" t="str">
        <f aca="false">IF(E66&lt;=0.7,"A",IF(E66&lt;=0.9,"B","C"))</f>
        <v>C</v>
      </c>
      <c r="G66" s="7" t="n">
        <v>3031</v>
      </c>
      <c r="H66" s="7" t="n">
        <v>250</v>
      </c>
    </row>
    <row r="67" customFormat="false" ht="15" hidden="false" customHeight="false" outlineLevel="0" collapsed="false">
      <c r="A67" s="7" t="n">
        <v>66</v>
      </c>
      <c r="B67" s="7" t="s">
        <v>1031</v>
      </c>
      <c r="C67" s="7" t="n">
        <v>162.2</v>
      </c>
      <c r="D67" s="8" t="n">
        <f aca="false">C67/SUM($C$2:$C$365)</f>
        <v>0.00095372717993104</v>
      </c>
      <c r="E67" s="8" t="n">
        <f aca="false">E66+D67</f>
        <v>0.958031888121099</v>
      </c>
      <c r="F67" s="7" t="str">
        <f aca="false">IF(E67&lt;=0.7,"A",IF(E67&lt;=0.9,"B","C"))</f>
        <v>C</v>
      </c>
      <c r="G67" s="7" t="n">
        <v>29400</v>
      </c>
      <c r="H67" s="7" t="n">
        <v>0</v>
      </c>
    </row>
    <row r="68" customFormat="false" ht="15" hidden="false" customHeight="false" outlineLevel="0" collapsed="false">
      <c r="A68" s="7" t="n">
        <v>67</v>
      </c>
      <c r="B68" s="7" t="s">
        <v>1032</v>
      </c>
      <c r="C68" s="7" t="n">
        <v>158.9</v>
      </c>
      <c r="D68" s="8" t="n">
        <f aca="false">C68/SUM($C$2:$C$365)</f>
        <v>0.000934323359377572</v>
      </c>
      <c r="E68" s="8" t="n">
        <f aca="false">E67+D68</f>
        <v>0.958966211480476</v>
      </c>
      <c r="F68" s="7" t="str">
        <f aca="false">IF(E68&lt;=0.7,"A",IF(E68&lt;=0.9,"B","C"))</f>
        <v>C</v>
      </c>
      <c r="G68" s="7" t="n">
        <v>1379</v>
      </c>
      <c r="H68" s="7" t="n">
        <v>100</v>
      </c>
    </row>
    <row r="69" customFormat="false" ht="15" hidden="false" customHeight="false" outlineLevel="0" collapsed="false">
      <c r="A69" s="7" t="n">
        <v>68</v>
      </c>
      <c r="B69" s="7" t="s">
        <v>1033</v>
      </c>
      <c r="C69" s="7" t="n">
        <v>149.7</v>
      </c>
      <c r="D69" s="8" t="n">
        <f aca="false">C69/SUM($C$2:$C$365)</f>
        <v>0.000880227859652754</v>
      </c>
      <c r="E69" s="8" t="n">
        <f aca="false">E68+D69</f>
        <v>0.959846439340129</v>
      </c>
      <c r="F69" s="7" t="str">
        <f aca="false">IF(E69&lt;=0.7,"A",IF(E69&lt;=0.9,"B","C"))</f>
        <v>C</v>
      </c>
      <c r="G69" s="7" t="n">
        <v>103</v>
      </c>
      <c r="H69" s="7" t="n">
        <v>200</v>
      </c>
    </row>
    <row r="70" customFormat="false" ht="15" hidden="false" customHeight="false" outlineLevel="0" collapsed="false">
      <c r="A70" s="7" t="n">
        <v>69</v>
      </c>
      <c r="B70" s="7" t="s">
        <v>1034</v>
      </c>
      <c r="C70" s="7" t="n">
        <v>147.3</v>
      </c>
      <c r="D70" s="8" t="n">
        <f aca="false">C70/SUM($C$2:$C$365)</f>
        <v>0.000866115990159323</v>
      </c>
      <c r="E70" s="8" t="n">
        <f aca="false">E69+D70</f>
        <v>0.960712555330288</v>
      </c>
      <c r="F70" s="7" t="str">
        <f aca="false">IF(E70&lt;=0.7,"A",IF(E70&lt;=0.9,"B","C"))</f>
        <v>C</v>
      </c>
      <c r="G70" s="7" t="n">
        <v>88</v>
      </c>
      <c r="H70" s="7" t="n">
        <v>700</v>
      </c>
    </row>
    <row r="71" customFormat="false" ht="15" hidden="false" customHeight="false" outlineLevel="0" collapsed="false">
      <c r="A71" s="7" t="n">
        <v>70</v>
      </c>
      <c r="B71" s="7" t="s">
        <v>1035</v>
      </c>
      <c r="C71" s="7" t="n">
        <v>144.9</v>
      </c>
      <c r="D71" s="8" t="n">
        <f aca="false">C71/SUM($C$2:$C$365)</f>
        <v>0.000852004120665892</v>
      </c>
      <c r="E71" s="8" t="n">
        <f aca="false">E70+D71</f>
        <v>0.961564559450954</v>
      </c>
      <c r="F71" s="7" t="str">
        <f aca="false">IF(E71&lt;=0.7,"A",IF(E71&lt;=0.9,"B","C"))</f>
        <v>C</v>
      </c>
      <c r="G71" s="7" t="n">
        <v>826</v>
      </c>
      <c r="H71" s="7" t="n">
        <v>150</v>
      </c>
    </row>
    <row r="72" customFormat="false" ht="15" hidden="false" customHeight="false" outlineLevel="0" collapsed="false">
      <c r="A72" s="7" t="n">
        <v>71</v>
      </c>
      <c r="B72" s="7" t="s">
        <v>1036</v>
      </c>
      <c r="C72" s="7" t="n">
        <v>137</v>
      </c>
      <c r="D72" s="8" t="n">
        <f aca="false">C72/SUM($C$2:$C$365)</f>
        <v>0.000805552550250015</v>
      </c>
      <c r="E72" s="8" t="n">
        <f aca="false">E71+D72</f>
        <v>0.962370112001204</v>
      </c>
      <c r="F72" s="7" t="str">
        <f aca="false">IF(E72&lt;=0.7,"A",IF(E72&lt;=0.9,"B","C"))</f>
        <v>C</v>
      </c>
      <c r="G72" s="7" t="n">
        <v>63</v>
      </c>
      <c r="H72" s="7" t="n">
        <v>100</v>
      </c>
    </row>
    <row r="73" customFormat="false" ht="15" hidden="false" customHeight="false" outlineLevel="0" collapsed="false">
      <c r="A73" s="7" t="n">
        <v>72</v>
      </c>
      <c r="B73" s="7" t="s">
        <v>1037</v>
      </c>
      <c r="C73" s="7" t="n">
        <v>136.2</v>
      </c>
      <c r="D73" s="8" t="n">
        <f aca="false">C73/SUM($C$2:$C$365)</f>
        <v>0.000800848593752205</v>
      </c>
      <c r="E73" s="8" t="n">
        <f aca="false">E72+D73</f>
        <v>0.963170960594957</v>
      </c>
      <c r="F73" s="7" t="str">
        <f aca="false">IF(E73&lt;=0.7,"A",IF(E73&lt;=0.9,"B","C"))</f>
        <v>C</v>
      </c>
      <c r="G73" s="7" t="n">
        <v>278</v>
      </c>
      <c r="H73" s="7" t="n">
        <v>200</v>
      </c>
    </row>
    <row r="74" customFormat="false" ht="15" hidden="false" customHeight="false" outlineLevel="0" collapsed="false">
      <c r="A74" s="7" t="n">
        <v>73</v>
      </c>
      <c r="B74" s="7" t="s">
        <v>1038</v>
      </c>
      <c r="C74" s="7" t="n">
        <v>134.9</v>
      </c>
      <c r="D74" s="8" t="n">
        <f aca="false">C74/SUM($C$2:$C$365)</f>
        <v>0.000793204664443263</v>
      </c>
      <c r="E74" s="8" t="n">
        <f aca="false">E73+D74</f>
        <v>0.9639641652594</v>
      </c>
      <c r="F74" s="7" t="str">
        <f aca="false">IF(E74&lt;=0.7,"A",IF(E74&lt;=0.9,"B","C"))</f>
        <v>C</v>
      </c>
      <c r="G74" s="7" t="n">
        <v>9576</v>
      </c>
      <c r="H74" s="7" t="n">
        <v>200</v>
      </c>
    </row>
    <row r="75" customFormat="false" ht="15" hidden="false" customHeight="false" outlineLevel="0" collapsed="false">
      <c r="A75" s="7" t="n">
        <v>74</v>
      </c>
      <c r="B75" s="7" t="s">
        <v>1039</v>
      </c>
      <c r="C75" s="7" t="n">
        <v>124.1</v>
      </c>
      <c r="D75" s="8" t="n">
        <f aca="false">C75/SUM($C$2:$C$365)</f>
        <v>0.000729701251722824</v>
      </c>
      <c r="E75" s="8" t="n">
        <f aca="false">E74+D75</f>
        <v>0.964693866511123</v>
      </c>
      <c r="F75" s="7" t="str">
        <f aca="false">IF(E75&lt;=0.7,"A",IF(E75&lt;=0.9,"B","C"))</f>
        <v>C</v>
      </c>
      <c r="G75" s="7" t="n">
        <v>1111</v>
      </c>
      <c r="H75" s="7" t="n">
        <v>0</v>
      </c>
    </row>
    <row r="76" customFormat="false" ht="15" hidden="false" customHeight="false" outlineLevel="0" collapsed="false">
      <c r="A76" s="7" t="n">
        <v>75</v>
      </c>
      <c r="B76" s="7" t="s">
        <v>1040</v>
      </c>
      <c r="C76" s="7" t="n">
        <v>123.5</v>
      </c>
      <c r="D76" s="8" t="n">
        <f aca="false">C76/SUM($C$2:$C$365)</f>
        <v>0.000726173284349466</v>
      </c>
      <c r="E76" s="8" t="n">
        <f aca="false">E75+D76</f>
        <v>0.965420039795472</v>
      </c>
      <c r="F76" s="7" t="str">
        <f aca="false">IF(E76&lt;=0.7,"A",IF(E76&lt;=0.9,"B","C"))</f>
        <v>C</v>
      </c>
      <c r="G76" s="7" t="n">
        <v>1262</v>
      </c>
      <c r="H76" s="7" t="n">
        <v>250</v>
      </c>
    </row>
    <row r="77" customFormat="false" ht="15" hidden="false" customHeight="false" outlineLevel="0" collapsed="false">
      <c r="A77" s="7" t="n">
        <v>76</v>
      </c>
      <c r="B77" s="7" t="s">
        <v>1041</v>
      </c>
      <c r="C77" s="7" t="n">
        <v>120</v>
      </c>
      <c r="D77" s="8" t="n">
        <f aca="false">C77/SUM($C$2:$C$365)</f>
        <v>0.000705593474671546</v>
      </c>
      <c r="E77" s="8" t="n">
        <f aca="false">E76+D77</f>
        <v>0.966125633270144</v>
      </c>
      <c r="F77" s="7" t="str">
        <f aca="false">IF(E77&lt;=0.7,"A",IF(E77&lt;=0.9,"B","C"))</f>
        <v>C</v>
      </c>
      <c r="G77" s="7" t="n">
        <v>8217</v>
      </c>
      <c r="H77" s="7" t="n">
        <v>150</v>
      </c>
    </row>
    <row r="78" customFormat="false" ht="15" hidden="false" customHeight="false" outlineLevel="0" collapsed="false">
      <c r="A78" s="7" t="n">
        <v>77</v>
      </c>
      <c r="B78" s="7" t="s">
        <v>1042</v>
      </c>
      <c r="C78" s="7" t="n">
        <v>119.7</v>
      </c>
      <c r="D78" s="8" t="n">
        <f aca="false">C78/SUM($C$2:$C$365)</f>
        <v>0.000703829490984867</v>
      </c>
      <c r="E78" s="8" t="n">
        <f aca="false">E77+D78</f>
        <v>0.966829462761129</v>
      </c>
      <c r="F78" s="7" t="str">
        <f aca="false">IF(E78&lt;=0.7,"A",IF(E78&lt;=0.9,"B","C"))</f>
        <v>C</v>
      </c>
      <c r="G78" s="7" t="n">
        <v>1215</v>
      </c>
      <c r="H78" s="7" t="n">
        <v>300</v>
      </c>
    </row>
    <row r="79" customFormat="false" ht="15" hidden="false" customHeight="false" outlineLevel="0" collapsed="false">
      <c r="A79" s="7" t="n">
        <v>78</v>
      </c>
      <c r="B79" s="7" t="s">
        <v>1043</v>
      </c>
      <c r="C79" s="7" t="n">
        <v>115.7</v>
      </c>
      <c r="D79" s="8" t="n">
        <f aca="false">C79/SUM($C$2:$C$365)</f>
        <v>0.000680309708495816</v>
      </c>
      <c r="E79" s="8" t="n">
        <f aca="false">E78+D79</f>
        <v>0.967509772469624</v>
      </c>
      <c r="F79" s="7" t="str">
        <f aca="false">IF(E79&lt;=0.7,"A",IF(E79&lt;=0.9,"B","C"))</f>
        <v>C</v>
      </c>
      <c r="G79" s="7" t="n">
        <v>930</v>
      </c>
      <c r="H79" s="7" t="n">
        <v>300</v>
      </c>
    </row>
    <row r="80" customFormat="false" ht="15" hidden="false" customHeight="false" outlineLevel="0" collapsed="false">
      <c r="A80" s="7" t="n">
        <v>79</v>
      </c>
      <c r="B80" s="7" t="s">
        <v>1044</v>
      </c>
      <c r="C80" s="7" t="n">
        <v>113.2</v>
      </c>
      <c r="D80" s="8" t="n">
        <f aca="false">C80/SUM($C$2:$C$365)</f>
        <v>0.000665609844440159</v>
      </c>
      <c r="E80" s="8" t="n">
        <f aca="false">E79+D80</f>
        <v>0.968175382314065</v>
      </c>
      <c r="F80" s="7" t="str">
        <f aca="false">IF(E80&lt;=0.7,"A",IF(E80&lt;=0.9,"B","C"))</f>
        <v>C</v>
      </c>
      <c r="G80" s="7" t="n">
        <v>1718</v>
      </c>
      <c r="H80" s="7" t="n">
        <v>300</v>
      </c>
    </row>
    <row r="81" customFormat="false" ht="15" hidden="false" customHeight="false" outlineLevel="0" collapsed="false">
      <c r="A81" s="7" t="n">
        <v>80</v>
      </c>
      <c r="B81" s="7" t="s">
        <v>1045</v>
      </c>
      <c r="C81" s="7" t="n">
        <v>108.1</v>
      </c>
      <c r="D81" s="8" t="n">
        <f aca="false">C81/SUM($C$2:$C$365)</f>
        <v>0.000635622121766618</v>
      </c>
      <c r="E81" s="8" t="n">
        <f aca="false">E80+D81</f>
        <v>0.968811004435831</v>
      </c>
      <c r="F81" s="7" t="str">
        <f aca="false">IF(E81&lt;=0.7,"A",IF(E81&lt;=0.9,"B","C"))</f>
        <v>C</v>
      </c>
      <c r="G81" s="7" t="n">
        <v>3950</v>
      </c>
      <c r="H81" s="7" t="n">
        <v>200</v>
      </c>
    </row>
    <row r="82" customFormat="false" ht="15" hidden="false" customHeight="false" outlineLevel="0" collapsed="false">
      <c r="A82" s="7" t="n">
        <v>81</v>
      </c>
      <c r="B82" s="7" t="s">
        <v>1046</v>
      </c>
      <c r="C82" s="7" t="n">
        <v>107.8</v>
      </c>
      <c r="D82" s="8" t="n">
        <f aca="false">C82/SUM($C$2:$C$365)</f>
        <v>0.000633858138079939</v>
      </c>
      <c r="E82" s="8" t="n">
        <f aca="false">E81+D82</f>
        <v>0.969444862573911</v>
      </c>
      <c r="F82" s="7" t="str">
        <f aca="false">IF(E82&lt;=0.7,"A",IF(E82&lt;=0.9,"B","C"))</f>
        <v>C</v>
      </c>
      <c r="G82" s="7" t="n">
        <v>110</v>
      </c>
      <c r="H82" s="7" t="n">
        <v>150</v>
      </c>
    </row>
    <row r="83" customFormat="false" ht="15" hidden="false" customHeight="false" outlineLevel="0" collapsed="false">
      <c r="A83" s="7" t="n">
        <v>82</v>
      </c>
      <c r="B83" s="7" t="s">
        <v>1047</v>
      </c>
      <c r="C83" s="7" t="n">
        <v>107</v>
      </c>
      <c r="D83" s="8" t="n">
        <f aca="false">C83/SUM($C$2:$C$365)</f>
        <v>0.000629154181582129</v>
      </c>
      <c r="E83" s="8" t="n">
        <f aca="false">E82+D83</f>
        <v>0.970074016755493</v>
      </c>
      <c r="F83" s="7" t="str">
        <f aca="false">IF(E83&lt;=0.7,"A",IF(E83&lt;=0.9,"B","C"))</f>
        <v>C</v>
      </c>
      <c r="G83" s="7" t="n">
        <v>1110</v>
      </c>
      <c r="H83" s="7" t="n">
        <v>1500</v>
      </c>
    </row>
    <row r="84" customFormat="false" ht="15" hidden="false" customHeight="false" outlineLevel="0" collapsed="false">
      <c r="A84" s="7" t="n">
        <v>83</v>
      </c>
      <c r="B84" s="7" t="s">
        <v>1048</v>
      </c>
      <c r="C84" s="7" t="n">
        <v>105.9</v>
      </c>
      <c r="D84" s="8" t="n">
        <f aca="false">C84/SUM($C$2:$C$365)</f>
        <v>0.00062268624139764</v>
      </c>
      <c r="E84" s="8" t="n">
        <f aca="false">E83+D84</f>
        <v>0.970696702996891</v>
      </c>
      <c r="F84" s="7" t="str">
        <f aca="false">IF(E84&lt;=0.7,"A",IF(E84&lt;=0.9,"B","C"))</f>
        <v>C</v>
      </c>
      <c r="G84" s="7" t="n">
        <v>19700</v>
      </c>
      <c r="H84" s="7" t="n">
        <v>5000</v>
      </c>
    </row>
    <row r="85" customFormat="false" ht="15" hidden="false" customHeight="false" outlineLevel="0" collapsed="false">
      <c r="A85" s="7" t="n">
        <v>84</v>
      </c>
      <c r="B85" s="7" t="s">
        <v>1049</v>
      </c>
      <c r="C85" s="7" t="n">
        <v>104.9</v>
      </c>
      <c r="D85" s="8" t="n">
        <f aca="false">C85/SUM($C$2:$C$365)</f>
        <v>0.000616806295775377</v>
      </c>
      <c r="E85" s="8" t="n">
        <f aca="false">E84+D85</f>
        <v>0.971313509292666</v>
      </c>
      <c r="F85" s="7" t="str">
        <f aca="false">IF(E85&lt;=0.7,"A",IF(E85&lt;=0.9,"B","C"))</f>
        <v>C</v>
      </c>
      <c r="G85" s="7" t="n">
        <v>2178</v>
      </c>
      <c r="H85" s="7" t="n">
        <v>150</v>
      </c>
    </row>
    <row r="86" customFormat="false" ht="15" hidden="false" customHeight="false" outlineLevel="0" collapsed="false">
      <c r="A86" s="7" t="n">
        <v>85</v>
      </c>
      <c r="B86" s="7" t="s">
        <v>1050</v>
      </c>
      <c r="C86" s="7" t="n">
        <v>104.3</v>
      </c>
      <c r="D86" s="8" t="n">
        <f aca="false">C86/SUM($C$2:$C$365)</f>
        <v>0.000613278328402019</v>
      </c>
      <c r="E86" s="8" t="n">
        <f aca="false">E85+D86</f>
        <v>0.971926787621068</v>
      </c>
      <c r="F86" s="7" t="str">
        <f aca="false">IF(E86&lt;=0.7,"A",IF(E86&lt;=0.9,"B","C"))</f>
        <v>C</v>
      </c>
      <c r="G86" s="7" t="n">
        <v>1562</v>
      </c>
      <c r="H86" s="7" t="n">
        <v>150</v>
      </c>
    </row>
    <row r="87" customFormat="false" ht="15" hidden="false" customHeight="false" outlineLevel="0" collapsed="false">
      <c r="A87" s="7" t="n">
        <v>86</v>
      </c>
      <c r="B87" s="7" t="s">
        <v>1051</v>
      </c>
      <c r="C87" s="7" t="n">
        <v>103</v>
      </c>
      <c r="D87" s="8" t="n">
        <f aca="false">C87/SUM($C$2:$C$365)</f>
        <v>0.000605634399093077</v>
      </c>
      <c r="E87" s="8" t="n">
        <f aca="false">E86+D87</f>
        <v>0.972532422020161</v>
      </c>
      <c r="F87" s="7" t="str">
        <f aca="false">IF(E87&lt;=0.7,"A",IF(E87&lt;=0.9,"B","C"))</f>
        <v>C</v>
      </c>
      <c r="G87" s="7" t="n">
        <v>3095</v>
      </c>
      <c r="H87" s="7" t="n">
        <v>200</v>
      </c>
    </row>
    <row r="88" customFormat="false" ht="15" hidden="false" customHeight="false" outlineLevel="0" collapsed="false">
      <c r="A88" s="7" t="n">
        <v>87</v>
      </c>
      <c r="B88" s="7" t="s">
        <v>1052</v>
      </c>
      <c r="C88" s="7" t="n">
        <v>100.3</v>
      </c>
      <c r="D88" s="8" t="n">
        <f aca="false">C88/SUM($C$2:$C$365)</f>
        <v>0.000589758545912967</v>
      </c>
      <c r="E88" s="8" t="n">
        <f aca="false">E87+D88</f>
        <v>0.973122180566074</v>
      </c>
      <c r="F88" s="7" t="str">
        <f aca="false">IF(E88&lt;=0.7,"A",IF(E88&lt;=0.9,"B","C"))</f>
        <v>C</v>
      </c>
      <c r="G88" s="7" t="n">
        <v>4703</v>
      </c>
      <c r="H88" s="7" t="n">
        <v>150</v>
      </c>
    </row>
    <row r="89" customFormat="false" ht="15" hidden="false" customHeight="false" outlineLevel="0" collapsed="false">
      <c r="A89" s="7" t="n">
        <v>88</v>
      </c>
      <c r="B89" s="7" t="s">
        <v>1053</v>
      </c>
      <c r="C89" s="7" t="n">
        <v>99.2</v>
      </c>
      <c r="D89" s="8" t="n">
        <f aca="false">C89/SUM($C$2:$C$365)</f>
        <v>0.000583290605728478</v>
      </c>
      <c r="E89" s="8" t="n">
        <f aca="false">E88+D89</f>
        <v>0.973705471171803</v>
      </c>
      <c r="F89" s="7" t="str">
        <f aca="false">IF(E89&lt;=0.7,"A",IF(E89&lt;=0.9,"B","C"))</f>
        <v>C</v>
      </c>
      <c r="G89" s="7" t="n">
        <v>580</v>
      </c>
      <c r="H89" s="7" t="n">
        <v>150</v>
      </c>
    </row>
    <row r="90" customFormat="false" ht="15" hidden="false" customHeight="false" outlineLevel="0" collapsed="false">
      <c r="A90" s="7" t="n">
        <v>89</v>
      </c>
      <c r="B90" s="7" t="s">
        <v>1054</v>
      </c>
      <c r="C90" s="7" t="n">
        <v>96.5</v>
      </c>
      <c r="D90" s="8" t="n">
        <f aca="false">C90/SUM($C$2:$C$365)</f>
        <v>0.000567414752548368</v>
      </c>
      <c r="E90" s="8" t="n">
        <f aca="false">E89+D90</f>
        <v>0.974272885924351</v>
      </c>
      <c r="F90" s="7" t="str">
        <f aca="false">IF(E90&lt;=0.7,"A",IF(E90&lt;=0.9,"B","C"))</f>
        <v>C</v>
      </c>
      <c r="G90" s="7" t="n">
        <v>1037</v>
      </c>
      <c r="H90" s="7" t="n">
        <v>1100</v>
      </c>
    </row>
    <row r="91" customFormat="false" ht="15" hidden="false" customHeight="false" outlineLevel="0" collapsed="false">
      <c r="A91" s="7" t="n">
        <v>90</v>
      </c>
      <c r="B91" s="7" t="s">
        <v>1055</v>
      </c>
      <c r="C91" s="7" t="n">
        <v>94.9</v>
      </c>
      <c r="D91" s="8" t="n">
        <f aca="false">C91/SUM($C$2:$C$365)</f>
        <v>0.000558006839552748</v>
      </c>
      <c r="E91" s="8" t="n">
        <f aca="false">E90+D91</f>
        <v>0.974830892763904</v>
      </c>
      <c r="F91" s="7" t="str">
        <f aca="false">IF(E91&lt;=0.7,"A",IF(E91&lt;=0.9,"B","C"))</f>
        <v>C</v>
      </c>
      <c r="G91" s="7" t="n">
        <v>460</v>
      </c>
      <c r="H91" s="7" t="n">
        <v>850</v>
      </c>
    </row>
    <row r="92" customFormat="false" ht="15" hidden="false" customHeight="false" outlineLevel="0" collapsed="false">
      <c r="A92" s="7" t="n">
        <v>91</v>
      </c>
      <c r="B92" s="7" t="s">
        <v>1056</v>
      </c>
      <c r="C92" s="7" t="n">
        <v>89.5</v>
      </c>
      <c r="D92" s="8" t="n">
        <f aca="false">C92/SUM($C$2:$C$365)</f>
        <v>0.000526255133192528</v>
      </c>
      <c r="E92" s="8" t="n">
        <f aca="false">E91+D92</f>
        <v>0.975357147897096</v>
      </c>
      <c r="F92" s="7" t="str">
        <f aca="false">IF(E92&lt;=0.7,"A",IF(E92&lt;=0.9,"B","C"))</f>
        <v>C</v>
      </c>
      <c r="G92" s="7" t="n">
        <v>6794</v>
      </c>
      <c r="H92" s="7" t="n">
        <v>50</v>
      </c>
    </row>
    <row r="93" customFormat="false" ht="15" hidden="false" customHeight="false" outlineLevel="0" collapsed="false">
      <c r="A93" s="7" t="n">
        <v>92</v>
      </c>
      <c r="B93" s="7" t="s">
        <v>1057</v>
      </c>
      <c r="C93" s="7" t="n">
        <v>89.2</v>
      </c>
      <c r="D93" s="8" t="n">
        <f aca="false">C93/SUM($C$2:$C$365)</f>
        <v>0.000524491149505849</v>
      </c>
      <c r="E93" s="8" t="n">
        <f aca="false">E92+D93</f>
        <v>0.975881639046602</v>
      </c>
      <c r="F93" s="7" t="str">
        <f aca="false">IF(E93&lt;=0.7,"A",IF(E93&lt;=0.9,"B","C"))</f>
        <v>C</v>
      </c>
      <c r="G93" s="7" t="n">
        <v>18115</v>
      </c>
      <c r="H93" s="7" t="n">
        <v>1250</v>
      </c>
    </row>
    <row r="94" customFormat="false" ht="15" hidden="false" customHeight="false" outlineLevel="0" collapsed="false">
      <c r="A94" s="7" t="n">
        <v>93</v>
      </c>
      <c r="B94" s="7" t="s">
        <v>1058</v>
      </c>
      <c r="C94" s="7" t="n">
        <v>86.5</v>
      </c>
      <c r="D94" s="8" t="n">
        <f aca="false">C94/SUM($C$2:$C$365)</f>
        <v>0.00050861529632574</v>
      </c>
      <c r="E94" s="8" t="n">
        <f aca="false">E93+D94</f>
        <v>0.976390254342928</v>
      </c>
      <c r="F94" s="7" t="str">
        <f aca="false">IF(E94&lt;=0.7,"A",IF(E94&lt;=0.9,"B","C"))</f>
        <v>C</v>
      </c>
      <c r="G94" s="7" t="n">
        <v>10788</v>
      </c>
      <c r="H94" s="7" t="n">
        <v>100</v>
      </c>
    </row>
    <row r="95" customFormat="false" ht="15" hidden="false" customHeight="false" outlineLevel="0" collapsed="false">
      <c r="A95" s="7" t="n">
        <v>94</v>
      </c>
      <c r="B95" s="7" t="s">
        <v>1059</v>
      </c>
      <c r="C95" s="7" t="n">
        <v>85.4</v>
      </c>
      <c r="D95" s="8" t="n">
        <f aca="false">C95/SUM($C$2:$C$365)</f>
        <v>0.00050214735614125</v>
      </c>
      <c r="E95" s="8" t="n">
        <f aca="false">E94+D95</f>
        <v>0.976892401699069</v>
      </c>
      <c r="F95" s="7" t="str">
        <f aca="false">IF(E95&lt;=0.7,"A",IF(E95&lt;=0.9,"B","C"))</f>
        <v>C</v>
      </c>
      <c r="G95" s="7" t="n">
        <v>1773</v>
      </c>
      <c r="H95" s="7" t="n">
        <v>1500</v>
      </c>
    </row>
    <row r="96" customFormat="false" ht="15" hidden="false" customHeight="false" outlineLevel="0" collapsed="false">
      <c r="A96" s="7" t="n">
        <v>95</v>
      </c>
      <c r="B96" s="7" t="s">
        <v>1060</v>
      </c>
      <c r="C96" s="7" t="n">
        <v>85.4</v>
      </c>
      <c r="D96" s="8" t="n">
        <f aca="false">C96/SUM($C$2:$C$365)</f>
        <v>0.00050214735614125</v>
      </c>
      <c r="E96" s="8" t="n">
        <f aca="false">E95+D96</f>
        <v>0.977394549055211</v>
      </c>
      <c r="F96" s="7" t="str">
        <f aca="false">IF(E96&lt;=0.7,"A",IF(E96&lt;=0.9,"B","C"))</f>
        <v>C</v>
      </c>
      <c r="G96" s="7" t="n">
        <v>20041</v>
      </c>
      <c r="H96" s="7" t="n">
        <v>200</v>
      </c>
    </row>
    <row r="97" customFormat="false" ht="15" hidden="false" customHeight="false" outlineLevel="0" collapsed="false">
      <c r="A97" s="7" t="n">
        <v>96</v>
      </c>
      <c r="B97" s="7" t="s">
        <v>1061</v>
      </c>
      <c r="C97" s="7" t="n">
        <v>84.9</v>
      </c>
      <c r="D97" s="8" t="n">
        <f aca="false">C97/SUM($C$2:$C$365)</f>
        <v>0.000499207383330119</v>
      </c>
      <c r="E97" s="8" t="n">
        <f aca="false">E96+D97</f>
        <v>0.977893756438541</v>
      </c>
      <c r="F97" s="7" t="str">
        <f aca="false">IF(E97&lt;=0.7,"A",IF(E97&lt;=0.9,"B","C"))</f>
        <v>C</v>
      </c>
      <c r="G97" s="7" t="n">
        <v>167</v>
      </c>
      <c r="H97" s="7" t="n">
        <v>150</v>
      </c>
    </row>
    <row r="98" customFormat="false" ht="15" hidden="false" customHeight="false" outlineLevel="0" collapsed="false">
      <c r="A98" s="7" t="n">
        <v>97</v>
      </c>
      <c r="B98" s="7" t="s">
        <v>1062</v>
      </c>
      <c r="C98" s="7" t="n">
        <v>79.5</v>
      </c>
      <c r="D98" s="8" t="n">
        <f aca="false">C98/SUM($C$2:$C$365)</f>
        <v>0.000467455676969899</v>
      </c>
      <c r="E98" s="8" t="n">
        <f aca="false">E97+D98</f>
        <v>0.978361212115511</v>
      </c>
      <c r="F98" s="7" t="str">
        <f aca="false">IF(E98&lt;=0.7,"A",IF(E98&lt;=0.9,"B","C"))</f>
        <v>C</v>
      </c>
      <c r="G98" s="7" t="n">
        <v>329</v>
      </c>
      <c r="H98" s="7" t="n">
        <v>50</v>
      </c>
    </row>
    <row r="99" customFormat="false" ht="15" hidden="false" customHeight="false" outlineLevel="0" collapsed="false">
      <c r="A99" s="7" t="n">
        <v>98</v>
      </c>
      <c r="B99" s="7" t="s">
        <v>1063</v>
      </c>
      <c r="C99" s="7" t="n">
        <v>77.3</v>
      </c>
      <c r="D99" s="8" t="n">
        <f aca="false">C99/SUM($C$2:$C$365)</f>
        <v>0.000454519796600921</v>
      </c>
      <c r="E99" s="8" t="n">
        <f aca="false">E98+D99</f>
        <v>0.978815731912112</v>
      </c>
      <c r="F99" s="7" t="str">
        <f aca="false">IF(E99&lt;=0.7,"A",IF(E99&lt;=0.9,"B","C"))</f>
        <v>C</v>
      </c>
      <c r="G99" s="7" t="n">
        <v>5440</v>
      </c>
      <c r="H99" s="7" t="n">
        <v>50</v>
      </c>
    </row>
    <row r="100" customFormat="false" ht="15" hidden="false" customHeight="false" outlineLevel="0" collapsed="false">
      <c r="A100" s="7" t="n">
        <v>99</v>
      </c>
      <c r="B100" s="7" t="s">
        <v>1064</v>
      </c>
      <c r="C100" s="7" t="n">
        <v>76.8</v>
      </c>
      <c r="D100" s="8" t="n">
        <f aca="false">C100/SUM($C$2:$C$365)</f>
        <v>0.00045157982378979</v>
      </c>
      <c r="E100" s="8" t="n">
        <f aca="false">E99+D100</f>
        <v>0.979267311735901</v>
      </c>
      <c r="F100" s="7" t="str">
        <f aca="false">IF(E100&lt;=0.7,"A",IF(E100&lt;=0.9,"B","C"))</f>
        <v>C</v>
      </c>
      <c r="G100" s="7" t="n">
        <v>12584</v>
      </c>
      <c r="H100" s="7" t="n">
        <v>10000</v>
      </c>
    </row>
    <row r="101" customFormat="false" ht="15" hidden="false" customHeight="false" outlineLevel="0" collapsed="false">
      <c r="A101" s="7" t="n">
        <v>100</v>
      </c>
      <c r="B101" s="7" t="s">
        <v>1065</v>
      </c>
      <c r="C101" s="7" t="n">
        <v>71.4</v>
      </c>
      <c r="D101" s="8" t="n">
        <f aca="false">C101/SUM($C$2:$C$365)</f>
        <v>0.00041982811742957</v>
      </c>
      <c r="E101" s="8" t="n">
        <f aca="false">E100+D101</f>
        <v>0.979687139853331</v>
      </c>
      <c r="F101" s="7" t="str">
        <f aca="false">IF(E101&lt;=0.7,"A",IF(E101&lt;=0.9,"B","C"))</f>
        <v>C</v>
      </c>
      <c r="G101" s="7" t="n">
        <v>298</v>
      </c>
      <c r="H101" s="7" t="n">
        <v>150</v>
      </c>
    </row>
    <row r="102" customFormat="false" ht="15" hidden="false" customHeight="false" outlineLevel="0" collapsed="false">
      <c r="A102" s="7" t="n">
        <v>101</v>
      </c>
      <c r="B102" s="7" t="s">
        <v>1066</v>
      </c>
      <c r="C102" s="7" t="n">
        <v>70.8</v>
      </c>
      <c r="D102" s="8" t="n">
        <f aca="false">C102/SUM($C$2:$C$365)</f>
        <v>0.000416300150056212</v>
      </c>
      <c r="E102" s="8" t="n">
        <f aca="false">E101+D102</f>
        <v>0.980103440003387</v>
      </c>
      <c r="F102" s="7" t="str">
        <f aca="false">IF(E102&lt;=0.7,"A",IF(E102&lt;=0.9,"B","C"))</f>
        <v>C</v>
      </c>
      <c r="G102" s="7" t="n">
        <v>1964</v>
      </c>
      <c r="H102" s="7" t="n">
        <v>250</v>
      </c>
    </row>
    <row r="103" customFormat="false" ht="15" hidden="false" customHeight="false" outlineLevel="0" collapsed="false">
      <c r="A103" s="7" t="n">
        <v>102</v>
      </c>
      <c r="B103" s="7" t="s">
        <v>1067</v>
      </c>
      <c r="C103" s="7" t="n">
        <v>70.3</v>
      </c>
      <c r="D103" s="8" t="n">
        <f aca="false">C103/SUM($C$2:$C$365)</f>
        <v>0.000413360177245081</v>
      </c>
      <c r="E103" s="8" t="n">
        <f aca="false">E102+D103</f>
        <v>0.980516800180632</v>
      </c>
      <c r="F103" s="7" t="str">
        <f aca="false">IF(E103&lt;=0.7,"A",IF(E103&lt;=0.9,"B","C"))</f>
        <v>C</v>
      </c>
      <c r="G103" s="7" t="n">
        <v>20226</v>
      </c>
      <c r="H103" s="7" t="n">
        <v>100</v>
      </c>
    </row>
    <row r="104" customFormat="false" ht="15" hidden="false" customHeight="false" outlineLevel="0" collapsed="false">
      <c r="A104" s="7" t="n">
        <v>103</v>
      </c>
      <c r="B104" s="7" t="s">
        <v>1068</v>
      </c>
      <c r="C104" s="7" t="n">
        <v>70.3</v>
      </c>
      <c r="D104" s="8" t="n">
        <f aca="false">C104/SUM($C$2:$C$365)</f>
        <v>0.000413360177245081</v>
      </c>
      <c r="E104" s="8" t="n">
        <f aca="false">E103+D104</f>
        <v>0.980930160357877</v>
      </c>
      <c r="F104" s="7" t="str">
        <f aca="false">IF(E104&lt;=0.7,"A",IF(E104&lt;=0.9,"B","C"))</f>
        <v>C</v>
      </c>
      <c r="G104" s="7" t="n">
        <v>5162</v>
      </c>
      <c r="H104" s="7" t="n">
        <v>0</v>
      </c>
    </row>
    <row r="105" customFormat="false" ht="15" hidden="false" customHeight="false" outlineLevel="0" collapsed="false">
      <c r="A105" s="7" t="n">
        <v>104</v>
      </c>
      <c r="B105" s="7" t="s">
        <v>1069</v>
      </c>
      <c r="C105" s="7" t="n">
        <v>70</v>
      </c>
      <c r="D105" s="8" t="n">
        <f aca="false">C105/SUM($C$2:$C$365)</f>
        <v>0.000411596193558402</v>
      </c>
      <c r="E105" s="8" t="n">
        <f aca="false">E104+D105</f>
        <v>0.981341756551435</v>
      </c>
      <c r="F105" s="7" t="str">
        <f aca="false">IF(E105&lt;=0.7,"A",IF(E105&lt;=0.9,"B","C"))</f>
        <v>C</v>
      </c>
      <c r="G105" s="7" t="n">
        <v>21000</v>
      </c>
      <c r="H105" s="7" t="n">
        <v>0</v>
      </c>
    </row>
    <row r="106" customFormat="false" ht="15" hidden="false" customHeight="false" outlineLevel="0" collapsed="false">
      <c r="A106" s="7" t="n">
        <v>105</v>
      </c>
      <c r="B106" s="7" t="s">
        <v>1070</v>
      </c>
      <c r="C106" s="7" t="n">
        <v>69.2</v>
      </c>
      <c r="D106" s="8" t="n">
        <f aca="false">C106/SUM($C$2:$C$365)</f>
        <v>0.000406892237060592</v>
      </c>
      <c r="E106" s="8" t="n">
        <f aca="false">E105+D106</f>
        <v>0.981748648788496</v>
      </c>
      <c r="F106" s="7" t="str">
        <f aca="false">IF(E106&lt;=0.7,"A",IF(E106&lt;=0.9,"B","C"))</f>
        <v>C</v>
      </c>
      <c r="G106" s="7" t="n">
        <v>260</v>
      </c>
      <c r="H106" s="7" t="n">
        <v>50</v>
      </c>
    </row>
    <row r="107" customFormat="false" ht="15" hidden="false" customHeight="false" outlineLevel="0" collapsed="false">
      <c r="A107" s="7" t="n">
        <v>106</v>
      </c>
      <c r="B107" s="7" t="s">
        <v>1071</v>
      </c>
      <c r="C107" s="7" t="n">
        <v>67.6</v>
      </c>
      <c r="D107" s="8" t="n">
        <f aca="false">C107/SUM($C$2:$C$365)</f>
        <v>0.000397484324064971</v>
      </c>
      <c r="E107" s="8" t="n">
        <f aca="false">E106+D107</f>
        <v>0.982146133112561</v>
      </c>
      <c r="F107" s="7" t="str">
        <f aca="false">IF(E107&lt;=0.7,"A",IF(E107&lt;=0.9,"B","C"))</f>
        <v>C</v>
      </c>
      <c r="G107" s="7" t="n">
        <v>1799</v>
      </c>
      <c r="H107" s="7" t="n">
        <v>100</v>
      </c>
    </row>
    <row r="108" customFormat="false" ht="15" hidden="false" customHeight="false" outlineLevel="0" collapsed="false">
      <c r="A108" s="7" t="n">
        <v>107</v>
      </c>
      <c r="B108" s="7" t="s">
        <v>1072</v>
      </c>
      <c r="C108" s="7" t="n">
        <v>64.9</v>
      </c>
      <c r="D108" s="8" t="n">
        <f aca="false">C108/SUM($C$2:$C$365)</f>
        <v>0.000381608470884861</v>
      </c>
      <c r="E108" s="8" t="n">
        <f aca="false">E107+D108</f>
        <v>0.982527741583446</v>
      </c>
      <c r="F108" s="7" t="str">
        <f aca="false">IF(E108&lt;=0.7,"A",IF(E108&lt;=0.9,"B","C"))</f>
        <v>C</v>
      </c>
      <c r="G108" s="7" t="n">
        <v>11036</v>
      </c>
      <c r="H108" s="7" t="n">
        <v>50</v>
      </c>
    </row>
    <row r="109" customFormat="false" ht="15" hidden="false" customHeight="false" outlineLevel="0" collapsed="false">
      <c r="A109" s="7" t="n">
        <v>108</v>
      </c>
      <c r="B109" s="7" t="s">
        <v>1073</v>
      </c>
      <c r="C109" s="7" t="n">
        <v>63.5</v>
      </c>
      <c r="D109" s="8" t="n">
        <f aca="false">C109/SUM($C$2:$C$365)</f>
        <v>0.000373376547013693</v>
      </c>
      <c r="E109" s="8" t="n">
        <f aca="false">E108+D109</f>
        <v>0.98290111813046</v>
      </c>
      <c r="F109" s="7" t="str">
        <f aca="false">IF(E109&lt;=0.7,"A",IF(E109&lt;=0.9,"B","C"))</f>
        <v>C</v>
      </c>
      <c r="G109" s="7" t="n">
        <v>238</v>
      </c>
      <c r="H109" s="7" t="n">
        <v>50</v>
      </c>
    </row>
    <row r="110" customFormat="false" ht="15" hidden="false" customHeight="false" outlineLevel="0" collapsed="false">
      <c r="A110" s="7" t="n">
        <v>109</v>
      </c>
      <c r="B110" s="7" t="s">
        <v>1074</v>
      </c>
      <c r="C110" s="7" t="n">
        <v>63.5</v>
      </c>
      <c r="D110" s="8" t="n">
        <f aca="false">C110/SUM($C$2:$C$365)</f>
        <v>0.000373376547013693</v>
      </c>
      <c r="E110" s="8" t="n">
        <f aca="false">E109+D110</f>
        <v>0.983274494677473</v>
      </c>
      <c r="F110" s="7" t="str">
        <f aca="false">IF(E110&lt;=0.7,"A",IF(E110&lt;=0.9,"B","C"))</f>
        <v>C</v>
      </c>
      <c r="G110" s="7" t="n">
        <v>240</v>
      </c>
      <c r="H110" s="7" t="n">
        <v>50</v>
      </c>
    </row>
    <row r="111" customFormat="false" ht="15" hidden="false" customHeight="false" outlineLevel="0" collapsed="false">
      <c r="A111" s="7" t="n">
        <v>110</v>
      </c>
      <c r="B111" s="7" t="s">
        <v>1075</v>
      </c>
      <c r="C111" s="7" t="n">
        <v>61.6</v>
      </c>
      <c r="D111" s="8" t="n">
        <f aca="false">C111/SUM($C$2:$C$365)</f>
        <v>0.000362204650331394</v>
      </c>
      <c r="E111" s="8" t="n">
        <f aca="false">E110+D111</f>
        <v>0.983636699327805</v>
      </c>
      <c r="F111" s="7" t="str">
        <f aca="false">IF(E111&lt;=0.7,"A",IF(E111&lt;=0.9,"B","C"))</f>
        <v>C</v>
      </c>
      <c r="G111" s="7" t="n">
        <v>540</v>
      </c>
      <c r="H111" s="7" t="n">
        <v>150</v>
      </c>
    </row>
    <row r="112" customFormat="false" ht="15" hidden="false" customHeight="false" outlineLevel="0" collapsed="false">
      <c r="A112" s="7" t="n">
        <v>111</v>
      </c>
      <c r="B112" s="7" t="s">
        <v>1076</v>
      </c>
      <c r="C112" s="7" t="n">
        <v>61.6</v>
      </c>
      <c r="D112" s="8" t="n">
        <f aca="false">C112/SUM($C$2:$C$365)</f>
        <v>0.000362204650331394</v>
      </c>
      <c r="E112" s="8" t="n">
        <f aca="false">E111+D112</f>
        <v>0.983998903978136</v>
      </c>
      <c r="F112" s="7" t="str">
        <f aca="false">IF(E112&lt;=0.7,"A",IF(E112&lt;=0.9,"B","C"))</f>
        <v>C</v>
      </c>
      <c r="G112" s="7" t="n">
        <v>8496</v>
      </c>
      <c r="H112" s="7" t="n">
        <v>0</v>
      </c>
    </row>
    <row r="113" customFormat="false" ht="15" hidden="false" customHeight="false" outlineLevel="0" collapsed="false">
      <c r="A113" s="7" t="n">
        <v>112</v>
      </c>
      <c r="B113" s="7" t="s">
        <v>1077</v>
      </c>
      <c r="C113" s="7" t="n">
        <v>58.1</v>
      </c>
      <c r="D113" s="8" t="n">
        <f aca="false">C113/SUM($C$2:$C$365)</f>
        <v>0.000341624840653474</v>
      </c>
      <c r="E113" s="8" t="n">
        <f aca="false">E112+D113</f>
        <v>0.98434052881879</v>
      </c>
      <c r="F113" s="7" t="str">
        <f aca="false">IF(E113&lt;=0.7,"A",IF(E113&lt;=0.9,"B","C"))</f>
        <v>C</v>
      </c>
      <c r="G113" s="7" t="n">
        <v>3019</v>
      </c>
      <c r="H113" s="7" t="n">
        <v>100</v>
      </c>
    </row>
    <row r="114" customFormat="false" ht="15" hidden="false" customHeight="false" outlineLevel="0" collapsed="false">
      <c r="A114" s="7" t="n">
        <v>113</v>
      </c>
      <c r="B114" s="7" t="s">
        <v>1078</v>
      </c>
      <c r="C114" s="7" t="n">
        <v>57.6</v>
      </c>
      <c r="D114" s="8" t="n">
        <f aca="false">C114/SUM($C$2:$C$365)</f>
        <v>0.000338684867842342</v>
      </c>
      <c r="E114" s="8" t="n">
        <f aca="false">E113+D114</f>
        <v>0.984679213686632</v>
      </c>
      <c r="F114" s="7" t="str">
        <f aca="false">IF(E114&lt;=0.7,"A",IF(E114&lt;=0.9,"B","C"))</f>
        <v>C</v>
      </c>
      <c r="G114" s="7" t="n">
        <v>233</v>
      </c>
      <c r="H114" s="7" t="n">
        <v>100</v>
      </c>
    </row>
    <row r="115" customFormat="false" ht="15" hidden="false" customHeight="false" outlineLevel="0" collapsed="false">
      <c r="A115" s="7" t="n">
        <v>114</v>
      </c>
      <c r="B115" s="7" t="s">
        <v>1079</v>
      </c>
      <c r="C115" s="7" t="n">
        <v>57</v>
      </c>
      <c r="D115" s="8" t="n">
        <f aca="false">C115/SUM($C$2:$C$365)</f>
        <v>0.000335156900468984</v>
      </c>
      <c r="E115" s="8" t="n">
        <f aca="false">E114+D115</f>
        <v>0.985014370587101</v>
      </c>
      <c r="F115" s="7" t="str">
        <f aca="false">IF(E115&lt;=0.7,"A",IF(E115&lt;=0.9,"B","C"))</f>
        <v>C</v>
      </c>
      <c r="G115" s="7" t="n">
        <v>230</v>
      </c>
      <c r="H115" s="7" t="n">
        <v>500</v>
      </c>
    </row>
    <row r="116" customFormat="false" ht="15" hidden="false" customHeight="false" outlineLevel="0" collapsed="false">
      <c r="A116" s="7" t="n">
        <v>115</v>
      </c>
      <c r="B116" s="7" t="s">
        <v>1080</v>
      </c>
      <c r="C116" s="7" t="n">
        <v>56.2</v>
      </c>
      <c r="D116" s="8" t="n">
        <f aca="false">C116/SUM($C$2:$C$365)</f>
        <v>0.000330452943971174</v>
      </c>
      <c r="E116" s="8" t="n">
        <f aca="false">E115+D116</f>
        <v>0.985344823531072</v>
      </c>
      <c r="F116" s="7" t="str">
        <f aca="false">IF(E116&lt;=0.7,"A",IF(E116&lt;=0.9,"B","C"))</f>
        <v>C</v>
      </c>
      <c r="G116" s="7" t="n">
        <v>2237</v>
      </c>
      <c r="H116" s="7" t="n">
        <v>50</v>
      </c>
    </row>
    <row r="117" customFormat="false" ht="15" hidden="false" customHeight="false" outlineLevel="0" collapsed="false">
      <c r="A117" s="7" t="n">
        <v>116</v>
      </c>
      <c r="B117" s="7" t="s">
        <v>1081</v>
      </c>
      <c r="C117" s="7" t="n">
        <v>55.7</v>
      </c>
      <c r="D117" s="8" t="n">
        <f aca="false">C117/SUM($C$2:$C$365)</f>
        <v>0.000327512971160043</v>
      </c>
      <c r="E117" s="8" t="n">
        <f aca="false">E116+D117</f>
        <v>0.985672336502232</v>
      </c>
      <c r="F117" s="7" t="str">
        <f aca="false">IF(E117&lt;=0.7,"A",IF(E117&lt;=0.9,"B","C"))</f>
        <v>C</v>
      </c>
      <c r="G117" s="7" t="n">
        <v>1138</v>
      </c>
      <c r="H117" s="7" t="n">
        <v>50</v>
      </c>
    </row>
    <row r="118" customFormat="false" ht="15" hidden="false" customHeight="false" outlineLevel="0" collapsed="false">
      <c r="A118" s="7" t="n">
        <v>117</v>
      </c>
      <c r="B118" s="7" t="s">
        <v>1082</v>
      </c>
      <c r="C118" s="7" t="n">
        <v>54.1</v>
      </c>
      <c r="D118" s="8" t="n">
        <f aca="false">C118/SUM($C$2:$C$365)</f>
        <v>0.000318105058164422</v>
      </c>
      <c r="E118" s="8" t="n">
        <f aca="false">E117+D118</f>
        <v>0.985990441560397</v>
      </c>
      <c r="F118" s="7" t="str">
        <f aca="false">IF(E118&lt;=0.7,"A",IF(E118&lt;=0.9,"B","C"))</f>
        <v>C</v>
      </c>
      <c r="G118" s="7" t="n">
        <v>212</v>
      </c>
      <c r="H118" s="7" t="n">
        <v>100</v>
      </c>
    </row>
    <row r="119" customFormat="false" ht="15" hidden="false" customHeight="false" outlineLevel="0" collapsed="false">
      <c r="A119" s="7" t="n">
        <v>118</v>
      </c>
      <c r="B119" s="7" t="s">
        <v>1083</v>
      </c>
      <c r="C119" s="7" t="n">
        <v>53</v>
      </c>
      <c r="D119" s="8" t="n">
        <f aca="false">C119/SUM($C$2:$C$365)</f>
        <v>0.000311637117979933</v>
      </c>
      <c r="E119" s="8" t="n">
        <f aca="false">E118+D119</f>
        <v>0.986302078678377</v>
      </c>
      <c r="F119" s="7" t="str">
        <f aca="false">IF(E119&lt;=0.7,"A",IF(E119&lt;=0.9,"B","C"))</f>
        <v>C</v>
      </c>
      <c r="G119" s="7" t="n">
        <v>13196</v>
      </c>
      <c r="H119" s="7" t="n">
        <v>10000</v>
      </c>
    </row>
    <row r="120" customFormat="false" ht="15" hidden="false" customHeight="false" outlineLevel="0" collapsed="false">
      <c r="A120" s="7" t="n">
        <v>119</v>
      </c>
      <c r="B120" s="7" t="s">
        <v>1084</v>
      </c>
      <c r="C120" s="7" t="n">
        <v>51.4</v>
      </c>
      <c r="D120" s="8" t="n">
        <f aca="false">C120/SUM($C$2:$C$365)</f>
        <v>0.000302229204984312</v>
      </c>
      <c r="E120" s="8" t="n">
        <f aca="false">E119+D120</f>
        <v>0.986604307883361</v>
      </c>
      <c r="F120" s="7" t="str">
        <f aca="false">IF(E120&lt;=0.7,"A",IF(E120&lt;=0.9,"B","C"))</f>
        <v>C</v>
      </c>
      <c r="G120" s="7" t="n">
        <v>2132</v>
      </c>
      <c r="H120" s="7" t="n">
        <v>100</v>
      </c>
    </row>
    <row r="121" customFormat="false" ht="15" hidden="false" customHeight="false" outlineLevel="0" collapsed="false">
      <c r="A121" s="7" t="n">
        <v>120</v>
      </c>
      <c r="B121" s="7" t="s">
        <v>1085</v>
      </c>
      <c r="C121" s="7" t="n">
        <v>51.1</v>
      </c>
      <c r="D121" s="8" t="n">
        <f aca="false">C121/SUM($C$2:$C$365)</f>
        <v>0.000300465221297633</v>
      </c>
      <c r="E121" s="8" t="n">
        <f aca="false">E120+D121</f>
        <v>0.986904773104659</v>
      </c>
      <c r="F121" s="7" t="str">
        <f aca="false">IF(E121&lt;=0.7,"A",IF(E121&lt;=0.9,"B","C"))</f>
        <v>C</v>
      </c>
      <c r="G121" s="7" t="n">
        <v>605</v>
      </c>
      <c r="H121" s="7" t="n">
        <v>50</v>
      </c>
    </row>
    <row r="122" customFormat="false" ht="15" hidden="false" customHeight="false" outlineLevel="0" collapsed="false">
      <c r="A122" s="7" t="n">
        <v>121</v>
      </c>
      <c r="B122" s="7" t="s">
        <v>1086</v>
      </c>
      <c r="C122" s="7" t="n">
        <v>48.6</v>
      </c>
      <c r="D122" s="8" t="n">
        <f aca="false">C122/SUM($C$2:$C$365)</f>
        <v>0.000285765357241976</v>
      </c>
      <c r="E122" s="8" t="n">
        <f aca="false">E121+D122</f>
        <v>0.987190538461901</v>
      </c>
      <c r="F122" s="7" t="str">
        <f aca="false">IF(E122&lt;=0.7,"A",IF(E122&lt;=0.9,"B","C"))</f>
        <v>C</v>
      </c>
      <c r="G122" s="7" t="n">
        <v>1919</v>
      </c>
      <c r="H122" s="7" t="n">
        <v>450</v>
      </c>
    </row>
    <row r="123" customFormat="false" ht="15" hidden="false" customHeight="false" outlineLevel="0" collapsed="false">
      <c r="A123" s="7" t="n">
        <v>122</v>
      </c>
      <c r="B123" s="7" t="s">
        <v>1087</v>
      </c>
      <c r="C123" s="7" t="n">
        <v>46.8</v>
      </c>
      <c r="D123" s="8" t="n">
        <f aca="false">C123/SUM($C$2:$C$365)</f>
        <v>0.000275181455121903</v>
      </c>
      <c r="E123" s="8" t="n">
        <f aca="false">E122+D123</f>
        <v>0.987465719917023</v>
      </c>
      <c r="F123" s="7" t="str">
        <f aca="false">IF(E123&lt;=0.7,"A",IF(E123&lt;=0.9,"B","C"))</f>
        <v>C</v>
      </c>
      <c r="G123" s="7" t="n">
        <v>129</v>
      </c>
      <c r="H123" s="7" t="n">
        <v>100</v>
      </c>
    </row>
    <row r="124" customFormat="false" ht="15" hidden="false" customHeight="false" outlineLevel="0" collapsed="false">
      <c r="A124" s="7" t="n">
        <v>123</v>
      </c>
      <c r="B124" s="7" t="s">
        <v>1088</v>
      </c>
      <c r="C124" s="7" t="n">
        <v>45.7</v>
      </c>
      <c r="D124" s="8" t="n">
        <f aca="false">C124/SUM($C$2:$C$365)</f>
        <v>0.000268713514937414</v>
      </c>
      <c r="E124" s="8" t="n">
        <f aca="false">E123+D124</f>
        <v>0.98773443343196</v>
      </c>
      <c r="F124" s="7" t="str">
        <f aca="false">IF(E124&lt;=0.7,"A",IF(E124&lt;=0.9,"B","C"))</f>
        <v>C</v>
      </c>
      <c r="G124" s="7" t="n">
        <v>336</v>
      </c>
      <c r="H124" s="7" t="n">
        <v>0</v>
      </c>
    </row>
    <row r="125" customFormat="false" ht="15" hidden="false" customHeight="false" outlineLevel="0" collapsed="false">
      <c r="A125" s="7" t="n">
        <v>124</v>
      </c>
      <c r="B125" s="7" t="s">
        <v>1089</v>
      </c>
      <c r="C125" s="7" t="n">
        <v>43.8</v>
      </c>
      <c r="D125" s="8" t="n">
        <f aca="false">C125/SUM($C$2:$C$365)</f>
        <v>0.000257541618255114</v>
      </c>
      <c r="E125" s="8" t="n">
        <f aca="false">E124+D125</f>
        <v>0.987991975050215</v>
      </c>
      <c r="F125" s="7" t="str">
        <f aca="false">IF(E125&lt;=0.7,"A",IF(E125&lt;=0.9,"B","C"))</f>
        <v>C</v>
      </c>
      <c r="G125" s="7" t="n">
        <v>1109</v>
      </c>
      <c r="H125" s="7" t="n">
        <v>50</v>
      </c>
    </row>
    <row r="126" customFormat="false" ht="15" hidden="false" customHeight="false" outlineLevel="0" collapsed="false">
      <c r="A126" s="7" t="n">
        <v>125</v>
      </c>
      <c r="B126" s="7" t="s">
        <v>1090</v>
      </c>
      <c r="C126" s="7" t="n">
        <v>42.4</v>
      </c>
      <c r="D126" s="8" t="n">
        <f aca="false">C126/SUM($C$2:$C$365)</f>
        <v>0.000249309694383946</v>
      </c>
      <c r="E126" s="8" t="n">
        <f aca="false">E125+D126</f>
        <v>0.988241284744599</v>
      </c>
      <c r="F126" s="7" t="str">
        <f aca="false">IF(E126&lt;=0.7,"A",IF(E126&lt;=0.9,"B","C"))</f>
        <v>C</v>
      </c>
      <c r="G126" s="7" t="n">
        <v>848</v>
      </c>
      <c r="H126" s="7" t="n">
        <v>50</v>
      </c>
    </row>
    <row r="127" customFormat="false" ht="15" hidden="false" customHeight="false" outlineLevel="0" collapsed="false">
      <c r="A127" s="7" t="n">
        <v>126</v>
      </c>
      <c r="B127" s="7" t="s">
        <v>1091</v>
      </c>
      <c r="C127" s="7" t="n">
        <v>40.5</v>
      </c>
      <c r="D127" s="8" t="n">
        <f aca="false">C127/SUM($C$2:$C$365)</f>
        <v>0.000238137797701647</v>
      </c>
      <c r="E127" s="8" t="n">
        <f aca="false">E126+D127</f>
        <v>0.988479422542301</v>
      </c>
      <c r="F127" s="7" t="str">
        <f aca="false">IF(E127&lt;=0.7,"A",IF(E127&lt;=0.9,"B","C"))</f>
        <v>C</v>
      </c>
      <c r="G127" s="7" t="n">
        <v>377</v>
      </c>
      <c r="H127" s="7" t="n">
        <v>7450</v>
      </c>
    </row>
    <row r="128" customFormat="false" ht="15" hidden="false" customHeight="false" outlineLevel="0" collapsed="false">
      <c r="A128" s="7" t="n">
        <v>127</v>
      </c>
      <c r="B128" s="7" t="s">
        <v>1092</v>
      </c>
      <c r="C128" s="7" t="n">
        <v>38.9</v>
      </c>
      <c r="D128" s="8" t="n">
        <f aca="false">C128/SUM($C$2:$C$365)</f>
        <v>0.000228729884706026</v>
      </c>
      <c r="E128" s="8" t="n">
        <f aca="false">E127+D128</f>
        <v>0.988708152427007</v>
      </c>
      <c r="F128" s="7" t="str">
        <f aca="false">IF(E128&lt;=0.7,"A",IF(E128&lt;=0.9,"B","C"))</f>
        <v>C</v>
      </c>
      <c r="G128" s="7" t="n">
        <v>78</v>
      </c>
      <c r="H128" s="7" t="n">
        <v>0</v>
      </c>
    </row>
    <row r="129" customFormat="false" ht="15" hidden="false" customHeight="false" outlineLevel="0" collapsed="false">
      <c r="A129" s="7" t="n">
        <v>128</v>
      </c>
      <c r="B129" s="7" t="s">
        <v>1093</v>
      </c>
      <c r="C129" s="7" t="n">
        <v>38.4</v>
      </c>
      <c r="D129" s="8" t="n">
        <f aca="false">C129/SUM($C$2:$C$365)</f>
        <v>0.000225789911894895</v>
      </c>
      <c r="E129" s="8" t="n">
        <f aca="false">E128+D129</f>
        <v>0.988933942338902</v>
      </c>
      <c r="F129" s="7" t="str">
        <f aca="false">IF(E129&lt;=0.7,"A",IF(E129&lt;=0.9,"B","C"))</f>
        <v>C</v>
      </c>
      <c r="G129" s="7" t="n">
        <v>1654</v>
      </c>
      <c r="H129" s="7" t="n">
        <v>200</v>
      </c>
    </row>
    <row r="130" customFormat="false" ht="15" hidden="false" customHeight="false" outlineLevel="0" collapsed="false">
      <c r="A130" s="7" t="n">
        <v>129</v>
      </c>
      <c r="B130" s="7" t="s">
        <v>1094</v>
      </c>
      <c r="C130" s="7" t="n">
        <v>38.1</v>
      </c>
      <c r="D130" s="8" t="n">
        <f aca="false">C130/SUM($C$2:$C$365)</f>
        <v>0.000224025928208216</v>
      </c>
      <c r="E130" s="8" t="n">
        <f aca="false">E129+D130</f>
        <v>0.98915796826711</v>
      </c>
      <c r="F130" s="7" t="str">
        <f aca="false">IF(E130&lt;=0.7,"A",IF(E130&lt;=0.9,"B","C"))</f>
        <v>C</v>
      </c>
      <c r="G130" s="7" t="n">
        <v>2030</v>
      </c>
      <c r="H130" s="7" t="n">
        <v>100</v>
      </c>
    </row>
    <row r="131" customFormat="false" ht="15" hidden="false" customHeight="false" outlineLevel="0" collapsed="false">
      <c r="A131" s="7" t="n">
        <v>130</v>
      </c>
      <c r="B131" s="7" t="s">
        <v>1095</v>
      </c>
      <c r="C131" s="7" t="n">
        <v>37.8</v>
      </c>
      <c r="D131" s="8" t="n">
        <f aca="false">C131/SUM($C$2:$C$365)</f>
        <v>0.000222261944521537</v>
      </c>
      <c r="E131" s="8" t="n">
        <f aca="false">E130+D131</f>
        <v>0.989380230211632</v>
      </c>
      <c r="F131" s="7" t="str">
        <f aca="false">IF(E131&lt;=0.7,"A",IF(E131&lt;=0.9,"B","C"))</f>
        <v>C</v>
      </c>
      <c r="G131" s="7" t="n">
        <v>879</v>
      </c>
      <c r="H131" s="7" t="n">
        <v>350</v>
      </c>
    </row>
    <row r="132" customFormat="false" ht="15" hidden="false" customHeight="false" outlineLevel="0" collapsed="false">
      <c r="A132" s="7" t="n">
        <v>131</v>
      </c>
      <c r="B132" s="7" t="s">
        <v>1096</v>
      </c>
      <c r="C132" s="7" t="n">
        <v>37.3</v>
      </c>
      <c r="D132" s="8" t="n">
        <f aca="false">C132/SUM($C$2:$C$365)</f>
        <v>0.000219321971710406</v>
      </c>
      <c r="E132" s="8" t="n">
        <f aca="false">E131+D132</f>
        <v>0.989599552183342</v>
      </c>
      <c r="F132" s="7" t="str">
        <f aca="false">IF(E132&lt;=0.7,"A",IF(E132&lt;=0.9,"B","C"))</f>
        <v>C</v>
      </c>
      <c r="G132" s="7" t="n">
        <v>2180</v>
      </c>
      <c r="H132" s="7" t="n">
        <v>100</v>
      </c>
    </row>
    <row r="133" customFormat="false" ht="15" hidden="false" customHeight="false" outlineLevel="0" collapsed="false">
      <c r="A133" s="7" t="n">
        <v>132</v>
      </c>
      <c r="B133" s="7" t="s">
        <v>1097</v>
      </c>
      <c r="C133" s="7" t="n">
        <v>37</v>
      </c>
      <c r="D133" s="8" t="n">
        <f aca="false">C133/SUM($C$2:$C$365)</f>
        <v>0.000217557988023727</v>
      </c>
      <c r="E133" s="8" t="n">
        <f aca="false">E132+D133</f>
        <v>0.989817110171366</v>
      </c>
      <c r="F133" s="7" t="str">
        <f aca="false">IF(E133&lt;=0.7,"A",IF(E133&lt;=0.9,"B","C"))</f>
        <v>C</v>
      </c>
      <c r="G133" s="7" t="n">
        <v>434</v>
      </c>
      <c r="H133" s="7" t="n">
        <v>50</v>
      </c>
    </row>
    <row r="134" customFormat="false" ht="15" hidden="false" customHeight="false" outlineLevel="0" collapsed="false">
      <c r="A134" s="7" t="n">
        <v>133</v>
      </c>
      <c r="B134" s="7" t="s">
        <v>1098</v>
      </c>
      <c r="C134" s="7" t="n">
        <v>35.7</v>
      </c>
      <c r="D134" s="8" t="n">
        <f aca="false">C134/SUM($C$2:$C$365)</f>
        <v>0.000209914058714785</v>
      </c>
      <c r="E134" s="8" t="n">
        <f aca="false">E133+D134</f>
        <v>0.99002702423008</v>
      </c>
      <c r="F134" s="7" t="str">
        <f aca="false">IF(E134&lt;=0.7,"A",IF(E134&lt;=0.9,"B","C"))</f>
        <v>C</v>
      </c>
      <c r="G134" s="7" t="n">
        <v>1162</v>
      </c>
      <c r="H134" s="7" t="n">
        <v>100</v>
      </c>
    </row>
    <row r="135" customFormat="false" ht="15" hidden="false" customHeight="false" outlineLevel="0" collapsed="false">
      <c r="A135" s="7" t="n">
        <v>134</v>
      </c>
      <c r="B135" s="7" t="s">
        <v>1099</v>
      </c>
      <c r="C135" s="7" t="n">
        <v>35.7</v>
      </c>
      <c r="D135" s="8" t="n">
        <f aca="false">C135/SUM($C$2:$C$365)</f>
        <v>0.000209914058714785</v>
      </c>
      <c r="E135" s="8" t="n">
        <f aca="false">E134+D135</f>
        <v>0.990236938288795</v>
      </c>
      <c r="F135" s="7" t="str">
        <f aca="false">IF(E135&lt;=0.7,"A",IF(E135&lt;=0.9,"B","C"))</f>
        <v>C</v>
      </c>
      <c r="G135" s="7" t="n">
        <v>1887</v>
      </c>
      <c r="H135" s="7" t="n">
        <v>0</v>
      </c>
    </row>
    <row r="136" customFormat="false" ht="15" hidden="false" customHeight="false" outlineLevel="0" collapsed="false">
      <c r="A136" s="7" t="n">
        <v>135</v>
      </c>
      <c r="B136" s="7" t="s">
        <v>1100</v>
      </c>
      <c r="C136" s="7" t="n">
        <v>35.4</v>
      </c>
      <c r="D136" s="8" t="n">
        <f aca="false">C136/SUM($C$2:$C$365)</f>
        <v>0.000208150075028106</v>
      </c>
      <c r="E136" s="8" t="n">
        <f aca="false">E135+D136</f>
        <v>0.990445088363823</v>
      </c>
      <c r="F136" s="7" t="str">
        <f aca="false">IF(E136&lt;=0.7,"A",IF(E136&lt;=0.9,"B","C"))</f>
        <v>C</v>
      </c>
      <c r="G136" s="7" t="n">
        <v>1306</v>
      </c>
      <c r="H136" s="7" t="n">
        <v>50</v>
      </c>
    </row>
    <row r="137" customFormat="false" ht="15" hidden="false" customHeight="false" outlineLevel="0" collapsed="false">
      <c r="A137" s="7" t="n">
        <v>136</v>
      </c>
      <c r="B137" s="7" t="s">
        <v>1101</v>
      </c>
      <c r="C137" s="7" t="n">
        <v>34.6</v>
      </c>
      <c r="D137" s="8" t="n">
        <f aca="false">C137/SUM($C$2:$C$365)</f>
        <v>0.000203446118530296</v>
      </c>
      <c r="E137" s="8" t="n">
        <f aca="false">E136+D137</f>
        <v>0.990648534482353</v>
      </c>
      <c r="F137" s="7" t="str">
        <f aca="false">IF(E137&lt;=0.7,"A",IF(E137&lt;=0.9,"B","C"))</f>
        <v>C</v>
      </c>
      <c r="G137" s="7" t="n">
        <v>266</v>
      </c>
      <c r="H137" s="7" t="n">
        <v>50</v>
      </c>
    </row>
    <row r="138" customFormat="false" ht="15" hidden="false" customHeight="false" outlineLevel="0" collapsed="false">
      <c r="A138" s="7" t="n">
        <v>137</v>
      </c>
      <c r="B138" s="7" t="s">
        <v>1102</v>
      </c>
      <c r="C138" s="7" t="n">
        <v>34.1</v>
      </c>
      <c r="D138" s="8" t="n">
        <f aca="false">C138/SUM($C$2:$C$365)</f>
        <v>0.000200506145719164</v>
      </c>
      <c r="E138" s="8" t="n">
        <f aca="false">E137+D138</f>
        <v>0.990849040628073</v>
      </c>
      <c r="F138" s="7" t="str">
        <f aca="false">IF(E138&lt;=0.7,"A",IF(E138&lt;=0.9,"B","C"))</f>
        <v>C</v>
      </c>
      <c r="G138" s="7" t="n">
        <v>25</v>
      </c>
      <c r="H138" s="7" t="n">
        <v>50</v>
      </c>
    </row>
    <row r="139" customFormat="false" ht="15" hidden="false" customHeight="false" outlineLevel="0" collapsed="false">
      <c r="A139" s="7" t="n">
        <v>138</v>
      </c>
      <c r="B139" s="7" t="s">
        <v>1103</v>
      </c>
      <c r="C139" s="7" t="n">
        <v>33.2</v>
      </c>
      <c r="D139" s="8" t="n">
        <f aca="false">C139/SUM($C$2:$C$365)</f>
        <v>0.000195214194659128</v>
      </c>
      <c r="E139" s="8" t="n">
        <f aca="false">E138+D139</f>
        <v>0.991044254822732</v>
      </c>
      <c r="F139" s="7" t="str">
        <f aca="false">IF(E139&lt;=0.7,"A",IF(E139&lt;=0.9,"B","C"))</f>
        <v>C</v>
      </c>
      <c r="G139" s="7" t="n">
        <v>15</v>
      </c>
      <c r="H139" s="7" t="n">
        <v>50</v>
      </c>
    </row>
    <row r="140" customFormat="false" ht="15" hidden="false" customHeight="false" outlineLevel="0" collapsed="false">
      <c r="A140" s="7" t="n">
        <v>139</v>
      </c>
      <c r="B140" s="7" t="s">
        <v>1104</v>
      </c>
      <c r="C140" s="7" t="n">
        <v>31.1</v>
      </c>
      <c r="D140" s="8" t="n">
        <f aca="false">C140/SUM($C$2:$C$365)</f>
        <v>0.000182866308852376</v>
      </c>
      <c r="E140" s="8" t="n">
        <f aca="false">E139+D140</f>
        <v>0.991227121131584</v>
      </c>
      <c r="F140" s="7" t="str">
        <f aca="false">IF(E140&lt;=0.7,"A",IF(E140&lt;=0.9,"B","C"))</f>
        <v>C</v>
      </c>
      <c r="G140" s="7" t="n">
        <v>1670</v>
      </c>
      <c r="H140" s="7" t="n">
        <v>100</v>
      </c>
    </row>
    <row r="141" customFormat="false" ht="15" hidden="false" customHeight="false" outlineLevel="0" collapsed="false">
      <c r="A141" s="7" t="n">
        <v>140</v>
      </c>
      <c r="B141" s="7" t="s">
        <v>1105</v>
      </c>
      <c r="C141" s="7" t="n">
        <v>30.3</v>
      </c>
      <c r="D141" s="8" t="n">
        <f aca="false">C141/SUM($C$2:$C$365)</f>
        <v>0.000178162352354565</v>
      </c>
      <c r="E141" s="8" t="n">
        <f aca="false">E140+D141</f>
        <v>0.991405283483939</v>
      </c>
      <c r="F141" s="7" t="str">
        <f aca="false">IF(E141&lt;=0.7,"A",IF(E141&lt;=0.9,"B","C"))</f>
        <v>C</v>
      </c>
      <c r="G141" s="7" t="n">
        <v>277</v>
      </c>
      <c r="H141" s="7" t="n">
        <v>100</v>
      </c>
    </row>
    <row r="142" customFormat="false" ht="15" hidden="false" customHeight="false" outlineLevel="0" collapsed="false">
      <c r="A142" s="7" t="n">
        <v>141</v>
      </c>
      <c r="B142" s="7" t="s">
        <v>1106</v>
      </c>
      <c r="C142" s="7" t="n">
        <v>29.7</v>
      </c>
      <c r="D142" s="8" t="n">
        <f aca="false">C142/SUM($C$2:$C$365)</f>
        <v>0.000174634384981208</v>
      </c>
      <c r="E142" s="8" t="n">
        <f aca="false">E141+D142</f>
        <v>0.99157991786892</v>
      </c>
      <c r="F142" s="7" t="str">
        <f aca="false">IF(E142&lt;=0.7,"A",IF(E142&lt;=0.9,"B","C"))</f>
        <v>C</v>
      </c>
      <c r="G142" s="7" t="n">
        <v>1599</v>
      </c>
      <c r="H142" s="7" t="n">
        <v>0</v>
      </c>
    </row>
    <row r="143" customFormat="false" ht="15" hidden="false" customHeight="false" outlineLevel="0" collapsed="false">
      <c r="A143" s="7" t="n">
        <v>142</v>
      </c>
      <c r="B143" s="7" t="s">
        <v>1107</v>
      </c>
      <c r="C143" s="7" t="n">
        <v>29.7</v>
      </c>
      <c r="D143" s="8" t="n">
        <f aca="false">C143/SUM($C$2:$C$365)</f>
        <v>0.000174634384981208</v>
      </c>
      <c r="E143" s="8" t="n">
        <f aca="false">E142+D143</f>
        <v>0.991754552253901</v>
      </c>
      <c r="F143" s="7" t="str">
        <f aca="false">IF(E143&lt;=0.7,"A",IF(E143&lt;=0.9,"B","C"))</f>
        <v>C</v>
      </c>
      <c r="G143" s="7" t="n">
        <v>11</v>
      </c>
      <c r="H143" s="7" t="n">
        <v>100</v>
      </c>
    </row>
    <row r="144" customFormat="false" ht="15" hidden="false" customHeight="false" outlineLevel="0" collapsed="false">
      <c r="A144" s="7" t="n">
        <v>143</v>
      </c>
      <c r="B144" s="7" t="s">
        <v>1108</v>
      </c>
      <c r="C144" s="7" t="n">
        <v>28.6</v>
      </c>
      <c r="D144" s="8" t="n">
        <f aca="false">C144/SUM($C$2:$C$365)</f>
        <v>0.000168166444796719</v>
      </c>
      <c r="E144" s="8" t="n">
        <f aca="false">E143+D144</f>
        <v>0.991922718698698</v>
      </c>
      <c r="F144" s="7" t="str">
        <f aca="false">IF(E144&lt;=0.7,"A",IF(E144&lt;=0.9,"B","C"))</f>
        <v>C</v>
      </c>
      <c r="G144" s="7" t="n">
        <v>1218</v>
      </c>
      <c r="H144" s="7" t="n">
        <v>50</v>
      </c>
    </row>
    <row r="145" customFormat="false" ht="15" hidden="false" customHeight="false" outlineLevel="0" collapsed="false">
      <c r="A145" s="7" t="n">
        <v>144</v>
      </c>
      <c r="B145" s="7" t="s">
        <v>1109</v>
      </c>
      <c r="C145" s="7" t="n">
        <v>27.8</v>
      </c>
      <c r="D145" s="8" t="n">
        <f aca="false">C145/SUM($C$2:$C$365)</f>
        <v>0.000163462488298908</v>
      </c>
      <c r="E145" s="8" t="n">
        <f aca="false">E144+D145</f>
        <v>0.992086181186997</v>
      </c>
      <c r="F145" s="7" t="str">
        <f aca="false">IF(E145&lt;=0.7,"A",IF(E145&lt;=0.9,"B","C"))</f>
        <v>C</v>
      </c>
      <c r="G145" s="7" t="n">
        <v>11417</v>
      </c>
      <c r="H145" s="7" t="n">
        <v>100</v>
      </c>
    </row>
    <row r="146" customFormat="false" ht="15" hidden="false" customHeight="false" outlineLevel="0" collapsed="false">
      <c r="A146" s="7" t="n">
        <v>145</v>
      </c>
      <c r="B146" s="7" t="s">
        <v>1110</v>
      </c>
      <c r="C146" s="7" t="n">
        <v>26.5</v>
      </c>
      <c r="D146" s="8" t="n">
        <f aca="false">C146/SUM($C$2:$C$365)</f>
        <v>0.000155818558989966</v>
      </c>
      <c r="E146" s="8" t="n">
        <f aca="false">E145+D146</f>
        <v>0.992241999745987</v>
      </c>
      <c r="F146" s="7" t="str">
        <f aca="false">IF(E146&lt;=0.7,"A",IF(E146&lt;=0.9,"B","C"))</f>
        <v>C</v>
      </c>
      <c r="G146" s="7" t="n">
        <v>718</v>
      </c>
      <c r="H146" s="7" t="n">
        <v>150</v>
      </c>
    </row>
    <row r="147" customFormat="false" ht="15" hidden="false" customHeight="false" outlineLevel="0" collapsed="false">
      <c r="A147" s="7" t="n">
        <v>146</v>
      </c>
      <c r="B147" s="7" t="s">
        <v>1111</v>
      </c>
      <c r="C147" s="7" t="n">
        <v>26.5</v>
      </c>
      <c r="D147" s="8" t="n">
        <f aca="false">C147/SUM($C$2:$C$365)</f>
        <v>0.000155818558989966</v>
      </c>
      <c r="E147" s="8" t="n">
        <f aca="false">E146+D147</f>
        <v>0.992397818304977</v>
      </c>
      <c r="F147" s="7" t="str">
        <f aca="false">IF(E147&lt;=0.7,"A",IF(E147&lt;=0.9,"B","C"))</f>
        <v>C</v>
      </c>
      <c r="G147" s="7" t="n">
        <v>9321</v>
      </c>
      <c r="H147" s="7" t="n">
        <v>50</v>
      </c>
    </row>
    <row r="148" customFormat="false" ht="15" hidden="false" customHeight="false" outlineLevel="0" collapsed="false">
      <c r="A148" s="7" t="n">
        <v>147</v>
      </c>
      <c r="B148" s="7" t="s">
        <v>1112</v>
      </c>
      <c r="C148" s="7" t="n">
        <v>25.9</v>
      </c>
      <c r="D148" s="8" t="n">
        <f aca="false">C148/SUM($C$2:$C$365)</f>
        <v>0.000152290591616609</v>
      </c>
      <c r="E148" s="8" t="n">
        <f aca="false">E147+D148</f>
        <v>0.992550108896593</v>
      </c>
      <c r="F148" s="7" t="str">
        <f aca="false">IF(E148&lt;=0.7,"A",IF(E148&lt;=0.9,"B","C"))</f>
        <v>C</v>
      </c>
      <c r="G148" s="7" t="n">
        <v>34</v>
      </c>
      <c r="H148" s="7" t="n">
        <v>0</v>
      </c>
    </row>
    <row r="149" customFormat="false" ht="15" hidden="false" customHeight="false" outlineLevel="0" collapsed="false">
      <c r="A149" s="7" t="n">
        <v>148</v>
      </c>
      <c r="B149" s="7" t="s">
        <v>1113</v>
      </c>
      <c r="C149" s="7" t="n">
        <v>25.7</v>
      </c>
      <c r="D149" s="8" t="n">
        <f aca="false">C149/SUM($C$2:$C$365)</f>
        <v>0.000151114602492156</v>
      </c>
      <c r="E149" s="8" t="n">
        <f aca="false">E148+D149</f>
        <v>0.992701223499085</v>
      </c>
      <c r="F149" s="7" t="str">
        <f aca="false">IF(E149&lt;=0.7,"A",IF(E149&lt;=0.9,"B","C"))</f>
        <v>C</v>
      </c>
      <c r="G149" s="7" t="n">
        <v>23</v>
      </c>
      <c r="H149" s="7" t="n">
        <v>50</v>
      </c>
    </row>
    <row r="150" customFormat="false" ht="15" hidden="false" customHeight="false" outlineLevel="0" collapsed="false">
      <c r="A150" s="7" t="n">
        <v>149</v>
      </c>
      <c r="B150" s="7" t="s">
        <v>1114</v>
      </c>
      <c r="C150" s="7" t="n">
        <v>24.9</v>
      </c>
      <c r="D150" s="8" t="n">
        <f aca="false">C150/SUM($C$2:$C$365)</f>
        <v>0.000146410645994346</v>
      </c>
      <c r="E150" s="8" t="n">
        <f aca="false">E149+D150</f>
        <v>0.99284763414508</v>
      </c>
      <c r="F150" s="7" t="str">
        <f aca="false">IF(E150&lt;=0.7,"A",IF(E150&lt;=0.9,"B","C"))</f>
        <v>C</v>
      </c>
      <c r="G150" s="7" t="n">
        <v>3923</v>
      </c>
      <c r="H150" s="7" t="n">
        <v>0</v>
      </c>
    </row>
    <row r="151" customFormat="false" ht="15" hidden="false" customHeight="false" outlineLevel="0" collapsed="false">
      <c r="A151" s="7" t="n">
        <v>150</v>
      </c>
      <c r="B151" s="7" t="s">
        <v>1115</v>
      </c>
      <c r="C151" s="7" t="n">
        <v>24.6</v>
      </c>
      <c r="D151" s="8" t="n">
        <f aca="false">C151/SUM($C$2:$C$365)</f>
        <v>0.000144646662307667</v>
      </c>
      <c r="E151" s="8" t="n">
        <f aca="false">E150+D151</f>
        <v>0.992992280807387</v>
      </c>
      <c r="F151" s="7" t="str">
        <f aca="false">IF(E151&lt;=0.7,"A",IF(E151&lt;=0.9,"B","C"))</f>
        <v>C</v>
      </c>
      <c r="G151" s="7" t="n">
        <v>600</v>
      </c>
      <c r="H151" s="7" t="n">
        <v>300</v>
      </c>
    </row>
    <row r="152" customFormat="false" ht="15" hidden="false" customHeight="false" outlineLevel="0" collapsed="false">
      <c r="A152" s="7" t="n">
        <v>151</v>
      </c>
      <c r="B152" s="7" t="s">
        <v>1116</v>
      </c>
      <c r="C152" s="7" t="n">
        <v>24.6</v>
      </c>
      <c r="D152" s="8" t="n">
        <f aca="false">C152/SUM($C$2:$C$365)</f>
        <v>0.000144646662307667</v>
      </c>
      <c r="E152" s="8" t="n">
        <f aca="false">E151+D152</f>
        <v>0.993136927469695</v>
      </c>
      <c r="F152" s="7" t="str">
        <f aca="false">IF(E152&lt;=0.7,"A",IF(E152&lt;=0.9,"B","C"))</f>
        <v>C</v>
      </c>
      <c r="G152" s="7" t="n">
        <v>15652</v>
      </c>
      <c r="H152" s="7" t="n">
        <v>10000</v>
      </c>
    </row>
    <row r="153" customFormat="false" ht="15" hidden="false" customHeight="false" outlineLevel="0" collapsed="false">
      <c r="A153" s="7" t="n">
        <v>152</v>
      </c>
      <c r="B153" s="7" t="s">
        <v>1117</v>
      </c>
      <c r="C153" s="7" t="n">
        <v>24.3</v>
      </c>
      <c r="D153" s="8" t="n">
        <f aca="false">C153/SUM($C$2:$C$365)</f>
        <v>0.000142882678620988</v>
      </c>
      <c r="E153" s="8" t="n">
        <f aca="false">E152+D153</f>
        <v>0.993279810148316</v>
      </c>
      <c r="F153" s="7" t="str">
        <f aca="false">IF(E153&lt;=0.7,"A",IF(E153&lt;=0.9,"B","C"))</f>
        <v>C</v>
      </c>
      <c r="G153" s="7" t="n">
        <v>10240</v>
      </c>
      <c r="H153" s="7" t="n">
        <v>100</v>
      </c>
    </row>
    <row r="154" customFormat="false" ht="15" hidden="false" customHeight="false" outlineLevel="0" collapsed="false">
      <c r="A154" s="7" t="n">
        <v>153</v>
      </c>
      <c r="B154" s="7" t="s">
        <v>1118</v>
      </c>
      <c r="C154" s="7" t="n">
        <v>23.8</v>
      </c>
      <c r="D154" s="8" t="n">
        <f aca="false">C154/SUM($C$2:$C$365)</f>
        <v>0.000139942705809857</v>
      </c>
      <c r="E154" s="8" t="n">
        <f aca="false">E153+D154</f>
        <v>0.993419752854126</v>
      </c>
      <c r="F154" s="7" t="str">
        <f aca="false">IF(E154&lt;=0.7,"A",IF(E154&lt;=0.9,"B","C"))</f>
        <v>C</v>
      </c>
      <c r="G154" s="7" t="n">
        <v>120</v>
      </c>
      <c r="H154" s="7" t="n">
        <v>50</v>
      </c>
    </row>
    <row r="155" customFormat="false" ht="15" hidden="false" customHeight="false" outlineLevel="0" collapsed="false">
      <c r="A155" s="7" t="n">
        <v>154</v>
      </c>
      <c r="B155" s="7" t="s">
        <v>1119</v>
      </c>
      <c r="C155" s="7" t="n">
        <v>23.2</v>
      </c>
      <c r="D155" s="8" t="n">
        <f aca="false">C155/SUM($C$2:$C$365)</f>
        <v>0.000136414738436499</v>
      </c>
      <c r="E155" s="8" t="n">
        <f aca="false">E154+D155</f>
        <v>0.993556167592562</v>
      </c>
      <c r="F155" s="7" t="str">
        <f aca="false">IF(E155&lt;=0.7,"A",IF(E155&lt;=0.9,"B","C"))</f>
        <v>C</v>
      </c>
      <c r="G155" s="7" t="n">
        <v>960</v>
      </c>
      <c r="H155" s="7" t="n">
        <v>50</v>
      </c>
    </row>
    <row r="156" customFormat="false" ht="15" hidden="false" customHeight="false" outlineLevel="0" collapsed="false">
      <c r="A156" s="7" t="n">
        <v>155</v>
      </c>
      <c r="B156" s="7" t="s">
        <v>1120</v>
      </c>
      <c r="C156" s="7" t="n">
        <v>23.2</v>
      </c>
      <c r="D156" s="8" t="n">
        <f aca="false">C156/SUM($C$2:$C$365)</f>
        <v>0.000136414738436499</v>
      </c>
      <c r="E156" s="8" t="n">
        <f aca="false">E155+D156</f>
        <v>0.993692582330999</v>
      </c>
      <c r="F156" s="7" t="str">
        <f aca="false">IF(E156&lt;=0.7,"A",IF(E156&lt;=0.9,"B","C"))</f>
        <v>C</v>
      </c>
      <c r="G156" s="7" t="n">
        <v>465</v>
      </c>
      <c r="H156" s="7" t="n">
        <v>100</v>
      </c>
    </row>
    <row r="157" customFormat="false" ht="15" hidden="false" customHeight="false" outlineLevel="0" collapsed="false">
      <c r="A157" s="7" t="n">
        <v>156</v>
      </c>
      <c r="B157" s="7" t="s">
        <v>1121</v>
      </c>
      <c r="C157" s="7" t="n">
        <v>23.2</v>
      </c>
      <c r="D157" s="8" t="n">
        <f aca="false">C157/SUM($C$2:$C$365)</f>
        <v>0.000136414738436499</v>
      </c>
      <c r="E157" s="8" t="n">
        <f aca="false">E156+D157</f>
        <v>0.993828997069435</v>
      </c>
      <c r="F157" s="7" t="str">
        <f aca="false">IF(E157&lt;=0.7,"A",IF(E157&lt;=0.9,"B","C"))</f>
        <v>C</v>
      </c>
      <c r="G157" s="7" t="n">
        <v>103</v>
      </c>
      <c r="H157" s="7" t="n">
        <v>100</v>
      </c>
    </row>
    <row r="158" customFormat="false" ht="15" hidden="false" customHeight="false" outlineLevel="0" collapsed="false">
      <c r="A158" s="7" t="n">
        <v>157</v>
      </c>
      <c r="B158" s="7" t="s">
        <v>1122</v>
      </c>
      <c r="C158" s="7" t="n">
        <v>23</v>
      </c>
      <c r="D158" s="8" t="n">
        <f aca="false">C158/SUM($C$2:$C$365)</f>
        <v>0.000135238749312046</v>
      </c>
      <c r="E158" s="8" t="n">
        <f aca="false">E157+D158</f>
        <v>0.993964235818747</v>
      </c>
      <c r="F158" s="7" t="str">
        <f aca="false">IF(E158&lt;=0.7,"A",IF(E158&lt;=0.9,"B","C"))</f>
        <v>C</v>
      </c>
      <c r="G158" s="7" t="n">
        <v>715</v>
      </c>
      <c r="H158" s="7" t="n">
        <v>100</v>
      </c>
    </row>
    <row r="159" customFormat="false" ht="15" hidden="false" customHeight="false" outlineLevel="0" collapsed="false">
      <c r="A159" s="7" t="n">
        <v>158</v>
      </c>
      <c r="B159" s="7" t="s">
        <v>1123</v>
      </c>
      <c r="C159" s="7" t="n">
        <v>23</v>
      </c>
      <c r="D159" s="8" t="n">
        <f aca="false">C159/SUM($C$2:$C$365)</f>
        <v>0.000135238749312046</v>
      </c>
      <c r="E159" s="8" t="n">
        <f aca="false">E158+D159</f>
        <v>0.994099474568059</v>
      </c>
      <c r="F159" s="7" t="str">
        <f aca="false">IF(E159&lt;=0.7,"A",IF(E159&lt;=0.9,"B","C"))</f>
        <v>C</v>
      </c>
      <c r="G159" s="7" t="n">
        <v>1920</v>
      </c>
      <c r="H159" s="7" t="n">
        <v>150</v>
      </c>
    </row>
    <row r="160" customFormat="false" ht="15" hidden="false" customHeight="false" outlineLevel="0" collapsed="false">
      <c r="A160" s="7" t="n">
        <v>159</v>
      </c>
      <c r="B160" s="7" t="s">
        <v>1124</v>
      </c>
      <c r="C160" s="7" t="n">
        <v>22.7</v>
      </c>
      <c r="D160" s="8" t="n">
        <f aca="false">C160/SUM($C$2:$C$365)</f>
        <v>0.000133474765625367</v>
      </c>
      <c r="E160" s="8" t="n">
        <f aca="false">E159+D160</f>
        <v>0.994232949333685</v>
      </c>
      <c r="F160" s="7" t="str">
        <f aca="false">IF(E160&lt;=0.7,"A",IF(E160&lt;=0.9,"B","C"))</f>
        <v>C</v>
      </c>
      <c r="G160" s="7" t="n">
        <v>50</v>
      </c>
      <c r="H160" s="7" t="n">
        <v>900</v>
      </c>
    </row>
    <row r="161" customFormat="false" ht="15" hidden="false" customHeight="false" outlineLevel="0" collapsed="false">
      <c r="A161" s="7" t="n">
        <v>160</v>
      </c>
      <c r="B161" s="7" t="s">
        <v>1125</v>
      </c>
      <c r="C161" s="7" t="n">
        <v>22.7</v>
      </c>
      <c r="D161" s="8" t="n">
        <f aca="false">C161/SUM($C$2:$C$365)</f>
        <v>0.000133474765625367</v>
      </c>
      <c r="E161" s="8" t="n">
        <f aca="false">E160+D161</f>
        <v>0.99436642409931</v>
      </c>
      <c r="F161" s="7" t="str">
        <f aca="false">IF(E161&lt;=0.7,"A",IF(E161&lt;=0.9,"B","C"))</f>
        <v>C</v>
      </c>
      <c r="G161" s="7" t="n">
        <v>42</v>
      </c>
      <c r="H161" s="7" t="n">
        <v>50</v>
      </c>
    </row>
    <row r="162" customFormat="false" ht="15" hidden="false" customHeight="false" outlineLevel="0" collapsed="false">
      <c r="A162" s="7" t="n">
        <v>161</v>
      </c>
      <c r="B162" s="7" t="s">
        <v>1126</v>
      </c>
      <c r="C162" s="7" t="n">
        <v>22.7</v>
      </c>
      <c r="D162" s="8" t="n">
        <f aca="false">C162/SUM($C$2:$C$365)</f>
        <v>0.000133474765625367</v>
      </c>
      <c r="E162" s="8" t="n">
        <f aca="false">E161+D162</f>
        <v>0.994499898864936</v>
      </c>
      <c r="F162" s="7" t="str">
        <f aca="false">IF(E162&lt;=0.7,"A",IF(E162&lt;=0.9,"B","C"))</f>
        <v>C</v>
      </c>
      <c r="G162" s="7" t="n">
        <v>991</v>
      </c>
      <c r="H162" s="7" t="n">
        <v>50</v>
      </c>
    </row>
    <row r="163" customFormat="false" ht="15" hidden="false" customHeight="false" outlineLevel="0" collapsed="false">
      <c r="A163" s="7" t="n">
        <v>162</v>
      </c>
      <c r="B163" s="7" t="s">
        <v>1127</v>
      </c>
      <c r="C163" s="7" t="n">
        <v>22.7</v>
      </c>
      <c r="D163" s="8" t="n">
        <f aca="false">C163/SUM($C$2:$C$365)</f>
        <v>0.000133474765625367</v>
      </c>
      <c r="E163" s="8" t="n">
        <f aca="false">E162+D163</f>
        <v>0.994633373630561</v>
      </c>
      <c r="F163" s="7" t="str">
        <f aca="false">IF(E163&lt;=0.7,"A",IF(E163&lt;=0.9,"B","C"))</f>
        <v>C</v>
      </c>
      <c r="G163" s="7" t="n">
        <v>336</v>
      </c>
      <c r="H163" s="7" t="n">
        <v>150</v>
      </c>
    </row>
    <row r="164" customFormat="false" ht="15" hidden="false" customHeight="false" outlineLevel="0" collapsed="false">
      <c r="A164" s="7" t="n">
        <v>163</v>
      </c>
      <c r="B164" s="7" t="s">
        <v>1128</v>
      </c>
      <c r="C164" s="7" t="n">
        <v>20.3</v>
      </c>
      <c r="D164" s="8" t="n">
        <f aca="false">C164/SUM($C$2:$C$365)</f>
        <v>0.000119362896131937</v>
      </c>
      <c r="E164" s="8" t="n">
        <f aca="false">E163+D164</f>
        <v>0.994752736526693</v>
      </c>
      <c r="F164" s="7" t="str">
        <f aca="false">IF(E164&lt;=0.7,"A",IF(E164&lt;=0.9,"B","C"))</f>
        <v>C</v>
      </c>
      <c r="G164" s="7" t="n">
        <v>1231</v>
      </c>
      <c r="H164" s="7" t="n">
        <v>450</v>
      </c>
    </row>
    <row r="165" customFormat="false" ht="15" hidden="false" customHeight="false" outlineLevel="0" collapsed="false">
      <c r="A165" s="7" t="n">
        <v>164</v>
      </c>
      <c r="B165" s="7" t="s">
        <v>1129</v>
      </c>
      <c r="C165" s="7" t="n">
        <v>19.7</v>
      </c>
      <c r="D165" s="8" t="n">
        <f aca="false">C165/SUM($C$2:$C$365)</f>
        <v>0.000115834928758579</v>
      </c>
      <c r="E165" s="8" t="n">
        <f aca="false">E164+D165</f>
        <v>0.994868571455452</v>
      </c>
      <c r="F165" s="7" t="str">
        <f aca="false">IF(E165&lt;=0.7,"A",IF(E165&lt;=0.9,"B","C"))</f>
        <v>C</v>
      </c>
      <c r="G165" s="7" t="n">
        <v>411</v>
      </c>
      <c r="H165" s="7" t="n">
        <v>50</v>
      </c>
    </row>
    <row r="166" customFormat="false" ht="15" hidden="false" customHeight="false" outlineLevel="0" collapsed="false">
      <c r="A166" s="7" t="n">
        <v>165</v>
      </c>
      <c r="B166" s="7" t="s">
        <v>1130</v>
      </c>
      <c r="C166" s="7" t="n">
        <v>19.5</v>
      </c>
      <c r="D166" s="8" t="n">
        <f aca="false">C166/SUM($C$2:$C$365)</f>
        <v>0.000114658939634126</v>
      </c>
      <c r="E166" s="8" t="n">
        <f aca="false">E165+D166</f>
        <v>0.994983230395086</v>
      </c>
      <c r="F166" s="7" t="str">
        <f aca="false">IF(E166&lt;=0.7,"A",IF(E166&lt;=0.9,"B","C"))</f>
        <v>C</v>
      </c>
      <c r="G166" s="7" t="n">
        <v>543</v>
      </c>
      <c r="H166" s="7" t="n">
        <v>50</v>
      </c>
    </row>
    <row r="167" customFormat="false" ht="15" hidden="false" customHeight="false" outlineLevel="0" collapsed="false">
      <c r="A167" s="7" t="n">
        <v>166</v>
      </c>
      <c r="B167" s="7" t="s">
        <v>1131</v>
      </c>
      <c r="C167" s="7" t="n">
        <v>19.5</v>
      </c>
      <c r="D167" s="8" t="n">
        <f aca="false">C167/SUM($C$2:$C$365)</f>
        <v>0.000114658939634126</v>
      </c>
      <c r="E167" s="8" t="n">
        <f aca="false">E166+D167</f>
        <v>0.99509788933472</v>
      </c>
      <c r="F167" s="7" t="str">
        <f aca="false">IF(E167&lt;=0.7,"A",IF(E167&lt;=0.9,"B","C"))</f>
        <v>C</v>
      </c>
      <c r="G167" s="7" t="n">
        <v>271</v>
      </c>
      <c r="H167" s="7" t="n">
        <v>0</v>
      </c>
    </row>
    <row r="168" customFormat="false" ht="15" hidden="false" customHeight="false" outlineLevel="0" collapsed="false">
      <c r="A168" s="7" t="n">
        <v>167</v>
      </c>
      <c r="B168" s="7" t="s">
        <v>1132</v>
      </c>
      <c r="C168" s="7" t="n">
        <v>18.1</v>
      </c>
      <c r="D168" s="8" t="n">
        <f aca="false">C168/SUM($C$2:$C$365)</f>
        <v>0.000106427015762958</v>
      </c>
      <c r="E168" s="8" t="n">
        <f aca="false">E167+D168</f>
        <v>0.995204316350483</v>
      </c>
      <c r="F168" s="7" t="str">
        <f aca="false">IF(E168&lt;=0.7,"A",IF(E168&lt;=0.9,"B","C"))</f>
        <v>C</v>
      </c>
      <c r="G168" s="7" t="n">
        <v>36</v>
      </c>
      <c r="H168" s="7" t="n">
        <v>50</v>
      </c>
    </row>
    <row r="169" customFormat="false" ht="15" hidden="false" customHeight="false" outlineLevel="0" collapsed="false">
      <c r="A169" s="7" t="n">
        <v>168</v>
      </c>
      <c r="B169" s="7" t="s">
        <v>1133</v>
      </c>
      <c r="C169" s="7" t="n">
        <v>17.8</v>
      </c>
      <c r="D169" s="8" t="n">
        <f aca="false">C169/SUM($C$2:$C$365)</f>
        <v>0.000104663032076279</v>
      </c>
      <c r="E169" s="8" t="n">
        <f aca="false">E168+D169</f>
        <v>0.995308979382559</v>
      </c>
      <c r="F169" s="7" t="str">
        <f aca="false">IF(E169&lt;=0.7,"A",IF(E169&lt;=0.9,"B","C"))</f>
        <v>C</v>
      </c>
      <c r="G169" s="7" t="n">
        <v>64</v>
      </c>
      <c r="H169" s="7" t="n">
        <v>0</v>
      </c>
    </row>
    <row r="170" customFormat="false" ht="15" hidden="false" customHeight="false" outlineLevel="0" collapsed="false">
      <c r="A170" s="7" t="n">
        <v>169</v>
      </c>
      <c r="B170" s="7" t="s">
        <v>1134</v>
      </c>
      <c r="C170" s="7" t="n">
        <v>17.8</v>
      </c>
      <c r="D170" s="8" t="n">
        <f aca="false">C170/SUM($C$2:$C$365)</f>
        <v>0.000104663032076279</v>
      </c>
      <c r="E170" s="8" t="n">
        <f aca="false">E169+D170</f>
        <v>0.995413642414635</v>
      </c>
      <c r="F170" s="7" t="str">
        <f aca="false">IF(E170&lt;=0.7,"A",IF(E170&lt;=0.9,"B","C"))</f>
        <v>C</v>
      </c>
      <c r="G170" s="7" t="n">
        <v>837</v>
      </c>
      <c r="H170" s="7" t="n">
        <v>50</v>
      </c>
    </row>
    <row r="171" customFormat="false" ht="15" hidden="false" customHeight="false" outlineLevel="0" collapsed="false">
      <c r="A171" s="7" t="n">
        <v>170</v>
      </c>
      <c r="B171" s="7" t="s">
        <v>1135</v>
      </c>
      <c r="C171" s="7" t="n">
        <v>17.6</v>
      </c>
      <c r="D171" s="8" t="n">
        <f aca="false">C171/SUM($C$2:$C$365)</f>
        <v>0.000103487042951827</v>
      </c>
      <c r="E171" s="8" t="n">
        <f aca="false">E170+D171</f>
        <v>0.995517129457587</v>
      </c>
      <c r="F171" s="7" t="str">
        <f aca="false">IF(E171&lt;=0.7,"A",IF(E171&lt;=0.9,"B","C"))</f>
        <v>C</v>
      </c>
      <c r="G171" s="7" t="n">
        <v>1310</v>
      </c>
      <c r="H171" s="7" t="n">
        <v>50</v>
      </c>
    </row>
    <row r="172" customFormat="false" ht="15" hidden="false" customHeight="false" outlineLevel="0" collapsed="false">
      <c r="A172" s="7" t="n">
        <v>171</v>
      </c>
      <c r="B172" s="7" t="s">
        <v>1136</v>
      </c>
      <c r="C172" s="7" t="n">
        <v>17.6</v>
      </c>
      <c r="D172" s="8" t="n">
        <f aca="false">C172/SUM($C$2:$C$365)</f>
        <v>0.000103487042951827</v>
      </c>
      <c r="E172" s="8" t="n">
        <f aca="false">E171+D172</f>
        <v>0.995620616500539</v>
      </c>
      <c r="F172" s="7" t="str">
        <f aca="false">IF(E172&lt;=0.7,"A",IF(E172&lt;=0.9,"B","C"))</f>
        <v>C</v>
      </c>
      <c r="G172" s="7" t="n">
        <v>240</v>
      </c>
      <c r="H172" s="7" t="n">
        <v>0</v>
      </c>
    </row>
    <row r="173" customFormat="false" ht="15" hidden="false" customHeight="false" outlineLevel="0" collapsed="false">
      <c r="A173" s="7" t="n">
        <v>172</v>
      </c>
      <c r="B173" s="7" t="s">
        <v>1137</v>
      </c>
      <c r="C173" s="7" t="n">
        <v>16.8</v>
      </c>
      <c r="D173" s="8" t="n">
        <f aca="false">C173/SUM($C$2:$C$365)</f>
        <v>9.87830864540165E-005</v>
      </c>
      <c r="E173" s="8" t="n">
        <f aca="false">E172+D173</f>
        <v>0.995719399586993</v>
      </c>
      <c r="F173" s="7" t="str">
        <f aca="false">IF(E173&lt;=0.7,"A",IF(E173&lt;=0.9,"B","C"))</f>
        <v>C</v>
      </c>
      <c r="G173" s="7" t="n">
        <v>163</v>
      </c>
      <c r="H173" s="7" t="n">
        <v>4050</v>
      </c>
    </row>
    <row r="174" customFormat="false" ht="15" hidden="false" customHeight="false" outlineLevel="0" collapsed="false">
      <c r="A174" s="7" t="n">
        <v>173</v>
      </c>
      <c r="B174" s="7" t="s">
        <v>1138</v>
      </c>
      <c r="C174" s="7" t="n">
        <v>16.8</v>
      </c>
      <c r="D174" s="8" t="n">
        <f aca="false">C174/SUM($C$2:$C$365)</f>
        <v>9.87830864540165E-005</v>
      </c>
      <c r="E174" s="8" t="n">
        <f aca="false">E173+D174</f>
        <v>0.995818182673447</v>
      </c>
      <c r="F174" s="7" t="str">
        <f aca="false">IF(E174&lt;=0.7,"A",IF(E174&lt;=0.9,"B","C"))</f>
        <v>C</v>
      </c>
      <c r="G174" s="7" t="n">
        <v>383</v>
      </c>
      <c r="H174" s="7" t="n">
        <v>0</v>
      </c>
    </row>
    <row r="175" customFormat="false" ht="15" hidden="false" customHeight="false" outlineLevel="0" collapsed="false">
      <c r="A175" s="7" t="n">
        <v>174</v>
      </c>
      <c r="B175" s="7" t="s">
        <v>1139</v>
      </c>
      <c r="C175" s="7" t="n">
        <v>15.9</v>
      </c>
      <c r="D175" s="8" t="n">
        <f aca="false">C175/SUM($C$2:$C$365)</f>
        <v>9.34911353939799E-005</v>
      </c>
      <c r="E175" s="8" t="n">
        <f aca="false">E174+D175</f>
        <v>0.995911673808841</v>
      </c>
      <c r="F175" s="7" t="str">
        <f aca="false">IF(E175&lt;=0.7,"A",IF(E175&lt;=0.9,"B","C"))</f>
        <v>C</v>
      </c>
      <c r="G175" s="7" t="n">
        <v>937</v>
      </c>
      <c r="H175" s="7" t="n">
        <v>0</v>
      </c>
    </row>
    <row r="176" customFormat="false" ht="15" hidden="false" customHeight="false" outlineLevel="0" collapsed="false">
      <c r="A176" s="7" t="n">
        <v>175</v>
      </c>
      <c r="B176" s="7" t="s">
        <v>1140</v>
      </c>
      <c r="C176" s="7" t="n">
        <v>15.4</v>
      </c>
      <c r="D176" s="8" t="n">
        <f aca="false">C176/SUM($C$2:$C$365)</f>
        <v>9.05511625828484E-005</v>
      </c>
      <c r="E176" s="8" t="n">
        <f aca="false">E175+D176</f>
        <v>0.996002224971424</v>
      </c>
      <c r="F176" s="7" t="str">
        <f aca="false">IF(E176&lt;=0.7,"A",IF(E176&lt;=0.9,"B","C"))</f>
        <v>C</v>
      </c>
      <c r="G176" s="7" t="n">
        <v>18</v>
      </c>
      <c r="H176" s="7" t="n">
        <v>50</v>
      </c>
    </row>
    <row r="177" customFormat="false" ht="15" hidden="false" customHeight="false" outlineLevel="0" collapsed="false">
      <c r="A177" s="7" t="n">
        <v>176</v>
      </c>
      <c r="B177" s="7" t="s">
        <v>1141</v>
      </c>
      <c r="C177" s="7" t="n">
        <v>15.4</v>
      </c>
      <c r="D177" s="8" t="n">
        <f aca="false">C177/SUM($C$2:$C$365)</f>
        <v>9.05511625828484E-005</v>
      </c>
      <c r="E177" s="8" t="n">
        <f aca="false">E176+D177</f>
        <v>0.996092776134007</v>
      </c>
      <c r="F177" s="7" t="str">
        <f aca="false">IF(E177&lt;=0.7,"A",IF(E177&lt;=0.9,"B","C"))</f>
        <v>C</v>
      </c>
      <c r="G177" s="7" t="n">
        <v>656</v>
      </c>
      <c r="H177" s="7" t="n">
        <v>100</v>
      </c>
    </row>
    <row r="178" customFormat="false" ht="15" hidden="false" customHeight="false" outlineLevel="0" collapsed="false">
      <c r="A178" s="7" t="n">
        <v>177</v>
      </c>
      <c r="B178" s="7" t="s">
        <v>1142</v>
      </c>
      <c r="C178" s="7" t="n">
        <v>15.1</v>
      </c>
      <c r="D178" s="8" t="n">
        <f aca="false">C178/SUM($C$2:$C$365)</f>
        <v>8.87871788961696E-005</v>
      </c>
      <c r="E178" s="8" t="n">
        <f aca="false">E177+D178</f>
        <v>0.996181563312903</v>
      </c>
      <c r="F178" s="7" t="str">
        <f aca="false">IF(E178&lt;=0.7,"A",IF(E178&lt;=0.9,"B","C"))</f>
        <v>C</v>
      </c>
      <c r="G178" s="7" t="n">
        <v>288</v>
      </c>
      <c r="H178" s="7" t="n">
        <v>0</v>
      </c>
    </row>
    <row r="179" customFormat="false" ht="15" hidden="false" customHeight="false" outlineLevel="0" collapsed="false">
      <c r="A179" s="7" t="n">
        <v>178</v>
      </c>
      <c r="B179" s="7" t="s">
        <v>1143</v>
      </c>
      <c r="C179" s="7" t="n">
        <v>13.8</v>
      </c>
      <c r="D179" s="8" t="n">
        <f aca="false">C179/SUM($C$2:$C$365)</f>
        <v>8.11432495872278E-005</v>
      </c>
      <c r="E179" s="8" t="n">
        <f aca="false">E178+D179</f>
        <v>0.99626270656249</v>
      </c>
      <c r="F179" s="7" t="str">
        <f aca="false">IF(E179&lt;=0.7,"A",IF(E179&lt;=0.9,"B","C"))</f>
        <v>C</v>
      </c>
      <c r="G179" s="7" t="n">
        <v>431</v>
      </c>
      <c r="H179" s="7" t="n">
        <v>50</v>
      </c>
    </row>
    <row r="180" customFormat="false" ht="15" hidden="false" customHeight="false" outlineLevel="0" collapsed="false">
      <c r="A180" s="7" t="n">
        <v>179</v>
      </c>
      <c r="B180" s="7" t="s">
        <v>1144</v>
      </c>
      <c r="C180" s="7" t="n">
        <v>13.8</v>
      </c>
      <c r="D180" s="8" t="n">
        <f aca="false">C180/SUM($C$2:$C$365)</f>
        <v>8.11432495872278E-005</v>
      </c>
      <c r="E180" s="8" t="n">
        <f aca="false">E179+D180</f>
        <v>0.996343849812077</v>
      </c>
      <c r="F180" s="7" t="str">
        <f aca="false">IF(E180&lt;=0.7,"A",IF(E180&lt;=0.9,"B","C"))</f>
        <v>C</v>
      </c>
      <c r="G180" s="7" t="n">
        <v>205</v>
      </c>
      <c r="H180" s="7" t="n">
        <v>0</v>
      </c>
    </row>
    <row r="181" customFormat="false" ht="15" hidden="false" customHeight="false" outlineLevel="0" collapsed="false">
      <c r="A181" s="7" t="n">
        <v>180</v>
      </c>
      <c r="B181" s="7" t="s">
        <v>1145</v>
      </c>
      <c r="C181" s="7" t="n">
        <v>13.5</v>
      </c>
      <c r="D181" s="8" t="n">
        <f aca="false">C181/SUM($C$2:$C$365)</f>
        <v>7.9379265900549E-005</v>
      </c>
      <c r="E181" s="8" t="n">
        <f aca="false">E180+D181</f>
        <v>0.996423229077978</v>
      </c>
      <c r="F181" s="7" t="str">
        <f aca="false">IF(E181&lt;=0.7,"A",IF(E181&lt;=0.9,"B","C"))</f>
        <v>C</v>
      </c>
      <c r="G181" s="7" t="n">
        <v>2428</v>
      </c>
      <c r="H181" s="7" t="n">
        <v>50</v>
      </c>
    </row>
    <row r="182" customFormat="false" ht="15" hidden="false" customHeight="false" outlineLevel="0" collapsed="false">
      <c r="A182" s="7" t="n">
        <v>181</v>
      </c>
      <c r="B182" s="7" t="s">
        <v>1146</v>
      </c>
      <c r="C182" s="7" t="n">
        <v>13.5</v>
      </c>
      <c r="D182" s="8" t="n">
        <f aca="false">C182/SUM($C$2:$C$365)</f>
        <v>7.9379265900549E-005</v>
      </c>
      <c r="E182" s="8" t="n">
        <f aca="false">E181+D182</f>
        <v>0.996502608343878</v>
      </c>
      <c r="F182" s="7" t="str">
        <f aca="false">IF(E182&lt;=0.7,"A",IF(E182&lt;=0.9,"B","C"))</f>
        <v>C</v>
      </c>
      <c r="G182" s="7" t="n">
        <v>199</v>
      </c>
      <c r="H182" s="7" t="n">
        <v>0</v>
      </c>
    </row>
    <row r="183" customFormat="false" ht="15" hidden="false" customHeight="false" outlineLevel="0" collapsed="false">
      <c r="A183" s="7" t="n">
        <v>182</v>
      </c>
      <c r="B183" s="7" t="s">
        <v>1147</v>
      </c>
      <c r="C183" s="7" t="n">
        <v>13.5</v>
      </c>
      <c r="D183" s="8" t="n">
        <f aca="false">C183/SUM($C$2:$C$365)</f>
        <v>7.9379265900549E-005</v>
      </c>
      <c r="E183" s="8" t="n">
        <f aca="false">E182+D183</f>
        <v>0.996581987609779</v>
      </c>
      <c r="F183" s="7" t="str">
        <f aca="false">IF(E183&lt;=0.7,"A",IF(E183&lt;=0.9,"B","C"))</f>
        <v>C</v>
      </c>
      <c r="G183" s="7" t="n">
        <v>149</v>
      </c>
      <c r="H183" s="7" t="n">
        <v>0</v>
      </c>
    </row>
    <row r="184" customFormat="false" ht="15" hidden="false" customHeight="false" outlineLevel="0" collapsed="false">
      <c r="A184" s="7" t="n">
        <v>183</v>
      </c>
      <c r="B184" s="7" t="s">
        <v>1148</v>
      </c>
      <c r="C184" s="7" t="n">
        <v>13.2</v>
      </c>
      <c r="D184" s="8" t="n">
        <f aca="false">C184/SUM($C$2:$C$365)</f>
        <v>7.76152822138701E-005</v>
      </c>
      <c r="E184" s="8" t="n">
        <f aca="false">E183+D184</f>
        <v>0.996659602891993</v>
      </c>
      <c r="F184" s="7" t="str">
        <f aca="false">IF(E184&lt;=0.7,"A",IF(E184&lt;=0.9,"B","C"))</f>
        <v>C</v>
      </c>
      <c r="G184" s="7" t="n">
        <v>729</v>
      </c>
      <c r="H184" s="7" t="n">
        <v>50</v>
      </c>
    </row>
    <row r="185" customFormat="false" ht="15" hidden="false" customHeight="false" outlineLevel="0" collapsed="false">
      <c r="A185" s="7" t="n">
        <v>184</v>
      </c>
      <c r="B185" s="7" t="s">
        <v>1149</v>
      </c>
      <c r="C185" s="7" t="n">
        <v>13</v>
      </c>
      <c r="D185" s="8" t="n">
        <f aca="false">C185/SUM($C$2:$C$365)</f>
        <v>7.64392930894175E-005</v>
      </c>
      <c r="E185" s="8" t="n">
        <f aca="false">E184+D185</f>
        <v>0.996736042185082</v>
      </c>
      <c r="F185" s="7" t="str">
        <f aca="false">IF(E185&lt;=0.7,"A",IF(E185&lt;=0.9,"B","C"))</f>
        <v>C</v>
      </c>
      <c r="G185" s="7" t="n">
        <v>153</v>
      </c>
      <c r="H185" s="7" t="n">
        <v>50</v>
      </c>
    </row>
    <row r="186" customFormat="false" ht="15" hidden="false" customHeight="false" outlineLevel="0" collapsed="false">
      <c r="A186" s="7" t="n">
        <v>185</v>
      </c>
      <c r="B186" s="7" t="s">
        <v>1150</v>
      </c>
      <c r="C186" s="7" t="n">
        <v>12.7</v>
      </c>
      <c r="D186" s="8" t="n">
        <f aca="false">C186/SUM($C$2:$C$365)</f>
        <v>7.46753094027386E-005</v>
      </c>
      <c r="E186" s="8" t="n">
        <f aca="false">E185+D186</f>
        <v>0.996810717494485</v>
      </c>
      <c r="F186" s="7" t="str">
        <f aca="false">IF(E186&lt;=0.7,"A",IF(E186&lt;=0.9,"B","C"))</f>
        <v>C</v>
      </c>
      <c r="G186" s="7" t="n">
        <v>3</v>
      </c>
      <c r="H186" s="7" t="n">
        <v>0</v>
      </c>
    </row>
    <row r="187" customFormat="false" ht="15" hidden="false" customHeight="false" outlineLevel="0" collapsed="false">
      <c r="A187" s="7" t="n">
        <v>186</v>
      </c>
      <c r="B187" s="7" t="s">
        <v>1151</v>
      </c>
      <c r="C187" s="7" t="n">
        <v>12.7</v>
      </c>
      <c r="D187" s="8" t="n">
        <f aca="false">C187/SUM($C$2:$C$365)</f>
        <v>7.46753094027386E-005</v>
      </c>
      <c r="E187" s="8" t="n">
        <f aca="false">E186+D187</f>
        <v>0.996885392803887</v>
      </c>
      <c r="F187" s="7" t="str">
        <f aca="false">IF(E187&lt;=0.7,"A",IF(E187&lt;=0.9,"B","C"))</f>
        <v>C</v>
      </c>
      <c r="G187" s="7" t="n">
        <v>6285</v>
      </c>
      <c r="H187" s="7" t="n">
        <v>10000</v>
      </c>
    </row>
    <row r="188" customFormat="false" ht="15" hidden="false" customHeight="false" outlineLevel="0" collapsed="false">
      <c r="A188" s="7" t="n">
        <v>187</v>
      </c>
      <c r="B188" s="7" t="s">
        <v>1152</v>
      </c>
      <c r="C188" s="7" t="n">
        <v>12.4</v>
      </c>
      <c r="D188" s="8" t="n">
        <f aca="false">C188/SUM($C$2:$C$365)</f>
        <v>7.29113257160598E-005</v>
      </c>
      <c r="E188" s="8" t="n">
        <f aca="false">E187+D188</f>
        <v>0.996958304129604</v>
      </c>
      <c r="F188" s="7" t="str">
        <f aca="false">IF(E188&lt;=0.7,"A",IF(E188&lt;=0.9,"B","C"))</f>
        <v>C</v>
      </c>
      <c r="G188" s="7" t="n">
        <v>142</v>
      </c>
      <c r="H188" s="7" t="n">
        <v>50</v>
      </c>
    </row>
    <row r="189" customFormat="false" ht="15" hidden="false" customHeight="false" outlineLevel="0" collapsed="false">
      <c r="A189" s="7" t="n">
        <v>188</v>
      </c>
      <c r="B189" s="7" t="s">
        <v>1153</v>
      </c>
      <c r="C189" s="7" t="n">
        <v>11.6</v>
      </c>
      <c r="D189" s="8" t="n">
        <f aca="false">C189/SUM($C$2:$C$365)</f>
        <v>6.82073692182495E-005</v>
      </c>
      <c r="E189" s="8" t="n">
        <f aca="false">E188+D189</f>
        <v>0.997026511498822</v>
      </c>
      <c r="F189" s="7" t="str">
        <f aca="false">IF(E189&lt;=0.7,"A",IF(E189&lt;=0.9,"B","C"))</f>
        <v>C</v>
      </c>
      <c r="G189" s="7" t="n">
        <v>59</v>
      </c>
      <c r="H189" s="7" t="n">
        <v>0</v>
      </c>
    </row>
    <row r="190" customFormat="false" ht="15" hidden="false" customHeight="false" outlineLevel="0" collapsed="false">
      <c r="A190" s="7" t="n">
        <v>189</v>
      </c>
      <c r="B190" s="7" t="s">
        <v>1154</v>
      </c>
      <c r="C190" s="7" t="n">
        <v>10.8</v>
      </c>
      <c r="D190" s="8" t="n">
        <f aca="false">C190/SUM($C$2:$C$365)</f>
        <v>6.35034127204392E-005</v>
      </c>
      <c r="E190" s="8" t="n">
        <f aca="false">E189+D190</f>
        <v>0.997090014911542</v>
      </c>
      <c r="F190" s="7" t="str">
        <f aca="false">IF(E190&lt;=0.7,"A",IF(E190&lt;=0.9,"B","C"))</f>
        <v>C</v>
      </c>
      <c r="G190" s="7" t="n">
        <v>340</v>
      </c>
      <c r="H190" s="7" t="n">
        <v>50</v>
      </c>
    </row>
    <row r="191" customFormat="false" ht="15" hidden="false" customHeight="false" outlineLevel="0" collapsed="false">
      <c r="A191" s="7" t="n">
        <v>190</v>
      </c>
      <c r="B191" s="7" t="s">
        <v>1155</v>
      </c>
      <c r="C191" s="7" t="n">
        <v>10.8</v>
      </c>
      <c r="D191" s="8" t="n">
        <f aca="false">C191/SUM($C$2:$C$365)</f>
        <v>6.35034127204392E-005</v>
      </c>
      <c r="E191" s="8" t="n">
        <f aca="false">E190+D191</f>
        <v>0.997153518324263</v>
      </c>
      <c r="F191" s="7" t="str">
        <f aca="false">IF(E191&lt;=0.7,"A",IF(E191&lt;=0.9,"B","C"))</f>
        <v>C</v>
      </c>
      <c r="G191" s="7" t="n">
        <v>157</v>
      </c>
      <c r="H191" s="7" t="n">
        <v>50</v>
      </c>
    </row>
    <row r="192" customFormat="false" ht="15" hidden="false" customHeight="false" outlineLevel="0" collapsed="false">
      <c r="A192" s="7" t="n">
        <v>191</v>
      </c>
      <c r="B192" s="7" t="s">
        <v>1156</v>
      </c>
      <c r="C192" s="7" t="n">
        <v>10.8</v>
      </c>
      <c r="D192" s="8" t="n">
        <f aca="false">C192/SUM($C$2:$C$365)</f>
        <v>6.35034127204392E-005</v>
      </c>
      <c r="E192" s="8" t="n">
        <f aca="false">E191+D192</f>
        <v>0.997217021736983</v>
      </c>
      <c r="F192" s="7" t="str">
        <f aca="false">IF(E192&lt;=0.7,"A",IF(E192&lt;=0.9,"B","C"))</f>
        <v>C</v>
      </c>
      <c r="G192" s="7" t="n">
        <v>353</v>
      </c>
      <c r="H192" s="7" t="n">
        <v>50</v>
      </c>
    </row>
    <row r="193" customFormat="false" ht="15" hidden="false" customHeight="false" outlineLevel="0" collapsed="false">
      <c r="A193" s="7" t="n">
        <v>192</v>
      </c>
      <c r="B193" s="7" t="s">
        <v>1157</v>
      </c>
      <c r="C193" s="7" t="n">
        <v>10.8</v>
      </c>
      <c r="D193" s="8" t="n">
        <f aca="false">C193/SUM($C$2:$C$365)</f>
        <v>6.35034127204392E-005</v>
      </c>
      <c r="E193" s="8" t="n">
        <f aca="false">E192+D193</f>
        <v>0.997280525149703</v>
      </c>
      <c r="F193" s="7" t="str">
        <f aca="false">IF(E193&lt;=0.7,"A",IF(E193&lt;=0.9,"B","C"))</f>
        <v>C</v>
      </c>
      <c r="G193" s="7" t="n">
        <v>2734</v>
      </c>
      <c r="H193" s="7" t="n">
        <v>350</v>
      </c>
    </row>
    <row r="194" customFormat="false" ht="15" hidden="false" customHeight="false" outlineLevel="0" collapsed="false">
      <c r="A194" s="7" t="n">
        <v>193</v>
      </c>
      <c r="B194" s="7" t="s">
        <v>1158</v>
      </c>
      <c r="C194" s="7" t="n">
        <v>10.8</v>
      </c>
      <c r="D194" s="8" t="n">
        <f aca="false">C194/SUM($C$2:$C$365)</f>
        <v>6.35034127204392E-005</v>
      </c>
      <c r="E194" s="8" t="n">
        <f aca="false">E193+D194</f>
        <v>0.997344028562424</v>
      </c>
      <c r="F194" s="7" t="str">
        <f aca="false">IF(E194&lt;=0.7,"A",IF(E194&lt;=0.9,"B","C"))</f>
        <v>C</v>
      </c>
      <c r="G194" s="7" t="n">
        <v>1084</v>
      </c>
      <c r="H194" s="7" t="n">
        <v>50</v>
      </c>
    </row>
    <row r="195" customFormat="false" ht="15" hidden="false" customHeight="false" outlineLevel="0" collapsed="false">
      <c r="A195" s="7" t="n">
        <v>194</v>
      </c>
      <c r="B195" s="7" t="s">
        <v>1159</v>
      </c>
      <c r="C195" s="7" t="n">
        <v>10.5</v>
      </c>
      <c r="D195" s="8" t="n">
        <f aca="false">C195/SUM($C$2:$C$365)</f>
        <v>6.17394290337603E-005</v>
      </c>
      <c r="E195" s="8" t="n">
        <f aca="false">E194+D195</f>
        <v>0.997405767991458</v>
      </c>
      <c r="F195" s="7" t="str">
        <f aca="false">IF(E195&lt;=0.7,"A",IF(E195&lt;=0.9,"B","C"))</f>
        <v>C</v>
      </c>
      <c r="G195" s="7" t="n">
        <v>761</v>
      </c>
      <c r="H195" s="7" t="n">
        <v>0</v>
      </c>
    </row>
    <row r="196" customFormat="false" ht="15" hidden="false" customHeight="false" outlineLevel="0" collapsed="false">
      <c r="A196" s="7" t="n">
        <v>195</v>
      </c>
      <c r="B196" s="7" t="s">
        <v>1160</v>
      </c>
      <c r="C196" s="7" t="n">
        <v>10.3</v>
      </c>
      <c r="D196" s="8" t="n">
        <f aca="false">C196/SUM($C$2:$C$365)</f>
        <v>6.05634399093077E-005</v>
      </c>
      <c r="E196" s="8" t="n">
        <f aca="false">E195+D196</f>
        <v>0.997466331431367</v>
      </c>
      <c r="F196" s="7" t="str">
        <f aca="false">IF(E196&lt;=0.7,"A",IF(E196&lt;=0.9,"B","C"))</f>
        <v>C</v>
      </c>
      <c r="G196" s="7" t="n">
        <v>57</v>
      </c>
      <c r="H196" s="7" t="n">
        <v>50</v>
      </c>
    </row>
    <row r="197" customFormat="false" ht="15" hidden="false" customHeight="false" outlineLevel="0" collapsed="false">
      <c r="A197" s="7" t="n">
        <v>196</v>
      </c>
      <c r="B197" s="7" t="s">
        <v>1161</v>
      </c>
      <c r="C197" s="7" t="n">
        <v>9.7</v>
      </c>
      <c r="D197" s="8" t="n">
        <f aca="false">C197/SUM($C$2:$C$365)</f>
        <v>5.703547253595E-005</v>
      </c>
      <c r="E197" s="8" t="n">
        <f aca="false">E196+D197</f>
        <v>0.997523366903903</v>
      </c>
      <c r="F197" s="7" t="str">
        <f aca="false">IF(E197&lt;=0.7,"A",IF(E197&lt;=0.9,"B","C"))</f>
        <v>C</v>
      </c>
      <c r="G197" s="7" t="n">
        <v>1239</v>
      </c>
      <c r="H197" s="7" t="n">
        <v>50</v>
      </c>
    </row>
    <row r="198" customFormat="false" ht="15" hidden="false" customHeight="false" outlineLevel="0" collapsed="false">
      <c r="A198" s="7" t="n">
        <v>197</v>
      </c>
      <c r="B198" s="7" t="s">
        <v>1162</v>
      </c>
      <c r="C198" s="7" t="n">
        <v>9.5</v>
      </c>
      <c r="D198" s="8" t="n">
        <f aca="false">C198/SUM($C$2:$C$365)</f>
        <v>5.58594834114974E-005</v>
      </c>
      <c r="E198" s="8" t="n">
        <f aca="false">E197+D198</f>
        <v>0.997579226387314</v>
      </c>
      <c r="F198" s="7" t="str">
        <f aca="false">IF(E198&lt;=0.7,"A",IF(E198&lt;=0.9,"B","C"))</f>
        <v>C</v>
      </c>
      <c r="G198" s="7" t="n">
        <v>608</v>
      </c>
      <c r="H198" s="7" t="n">
        <v>50</v>
      </c>
    </row>
    <row r="199" customFormat="false" ht="15" hidden="false" customHeight="false" outlineLevel="0" collapsed="false">
      <c r="A199" s="7" t="n">
        <v>198</v>
      </c>
      <c r="B199" s="7" t="s">
        <v>1163</v>
      </c>
      <c r="C199" s="7" t="n">
        <v>9.5</v>
      </c>
      <c r="D199" s="8" t="n">
        <f aca="false">C199/SUM($C$2:$C$365)</f>
        <v>5.58594834114974E-005</v>
      </c>
      <c r="E199" s="8" t="n">
        <f aca="false">E198+D199</f>
        <v>0.997635085870726</v>
      </c>
      <c r="F199" s="7" t="str">
        <f aca="false">IF(E199&lt;=0.7,"A",IF(E199&lt;=0.9,"B","C"))</f>
        <v>C</v>
      </c>
      <c r="G199" s="7" t="n">
        <v>689</v>
      </c>
      <c r="H199" s="7" t="n">
        <v>50</v>
      </c>
    </row>
    <row r="200" customFormat="false" ht="15" hidden="false" customHeight="false" outlineLevel="0" collapsed="false">
      <c r="A200" s="7" t="n">
        <v>199</v>
      </c>
      <c r="B200" s="7" t="s">
        <v>1164</v>
      </c>
      <c r="C200" s="7" t="n">
        <v>9.2</v>
      </c>
      <c r="D200" s="8" t="n">
        <f aca="false">C200/SUM($C$2:$C$365)</f>
        <v>5.40954997248185E-005</v>
      </c>
      <c r="E200" s="8" t="n">
        <f aca="false">E199+D200</f>
        <v>0.997689181370451</v>
      </c>
      <c r="F200" s="7" t="str">
        <f aca="false">IF(E200&lt;=0.7,"A",IF(E200&lt;=0.9,"B","C"))</f>
        <v>C</v>
      </c>
      <c r="G200" s="7" t="n">
        <v>46</v>
      </c>
      <c r="H200" s="7" t="n">
        <v>300</v>
      </c>
    </row>
    <row r="201" customFormat="false" ht="15" hidden="false" customHeight="false" outlineLevel="0" collapsed="false">
      <c r="A201" s="7" t="n">
        <v>200</v>
      </c>
      <c r="B201" s="7" t="s">
        <v>1165</v>
      </c>
      <c r="C201" s="7" t="n">
        <v>8.9</v>
      </c>
      <c r="D201" s="8" t="n">
        <f aca="false">C201/SUM($C$2:$C$365)</f>
        <v>5.23315160381397E-005</v>
      </c>
      <c r="E201" s="8" t="n">
        <f aca="false">E200+D201</f>
        <v>0.997741512886489</v>
      </c>
      <c r="F201" s="7" t="str">
        <f aca="false">IF(E201&lt;=0.7,"A",IF(E201&lt;=0.9,"B","C"))</f>
        <v>C</v>
      </c>
      <c r="G201" s="7" t="n">
        <v>1104</v>
      </c>
      <c r="H201" s="7" t="n">
        <v>50</v>
      </c>
    </row>
    <row r="202" customFormat="false" ht="15" hidden="false" customHeight="false" outlineLevel="0" collapsed="false">
      <c r="A202" s="7" t="n">
        <v>201</v>
      </c>
      <c r="B202" s="7" t="s">
        <v>1166</v>
      </c>
      <c r="C202" s="7" t="n">
        <v>8.9</v>
      </c>
      <c r="D202" s="8" t="n">
        <f aca="false">C202/SUM($C$2:$C$365)</f>
        <v>5.23315160381397E-005</v>
      </c>
      <c r="E202" s="8" t="n">
        <f aca="false">E201+D202</f>
        <v>0.997793844402527</v>
      </c>
      <c r="F202" s="7" t="str">
        <f aca="false">IF(E202&lt;=0.7,"A",IF(E202&lt;=0.9,"B","C"))</f>
        <v>C</v>
      </c>
      <c r="G202" s="7" t="n">
        <v>9529</v>
      </c>
      <c r="H202" s="7" t="n">
        <v>50</v>
      </c>
    </row>
    <row r="203" customFormat="false" ht="15" hidden="false" customHeight="false" outlineLevel="0" collapsed="false">
      <c r="A203" s="7" t="n">
        <v>202</v>
      </c>
      <c r="B203" s="7" t="s">
        <v>1167</v>
      </c>
      <c r="C203" s="7" t="n">
        <v>8.4</v>
      </c>
      <c r="D203" s="8" t="n">
        <f aca="false">C203/SUM($C$2:$C$365)</f>
        <v>4.93915432270082E-005</v>
      </c>
      <c r="E203" s="8" t="n">
        <f aca="false">E202+D203</f>
        <v>0.997843235945754</v>
      </c>
      <c r="F203" s="7" t="str">
        <f aca="false">IF(E203&lt;=0.7,"A",IF(E203&lt;=0.9,"B","C"))</f>
        <v>C</v>
      </c>
      <c r="G203" s="7" t="n">
        <v>69</v>
      </c>
      <c r="H203" s="7" t="n">
        <v>350</v>
      </c>
    </row>
    <row r="204" customFormat="false" ht="15" hidden="false" customHeight="false" outlineLevel="0" collapsed="false">
      <c r="A204" s="7" t="n">
        <v>203</v>
      </c>
      <c r="B204" s="7" t="s">
        <v>1168</v>
      </c>
      <c r="C204" s="7" t="n">
        <v>8.4</v>
      </c>
      <c r="D204" s="8" t="n">
        <f aca="false">C204/SUM($C$2:$C$365)</f>
        <v>4.93915432270082E-005</v>
      </c>
      <c r="E204" s="8" t="n">
        <f aca="false">E203+D204</f>
        <v>0.997892627488981</v>
      </c>
      <c r="F204" s="7" t="str">
        <f aca="false">IF(E204&lt;=0.7,"A",IF(E204&lt;=0.9,"B","C"))</f>
        <v>C</v>
      </c>
      <c r="G204" s="7" t="n">
        <v>111</v>
      </c>
      <c r="H204" s="7" t="n">
        <v>50</v>
      </c>
    </row>
    <row r="205" customFormat="false" ht="15" hidden="false" customHeight="false" outlineLevel="0" collapsed="false">
      <c r="A205" s="7" t="n">
        <v>204</v>
      </c>
      <c r="B205" s="7" t="s">
        <v>1169</v>
      </c>
      <c r="C205" s="7" t="n">
        <v>8.4</v>
      </c>
      <c r="D205" s="8" t="n">
        <f aca="false">C205/SUM($C$2:$C$365)</f>
        <v>4.93915432270082E-005</v>
      </c>
      <c r="E205" s="8" t="n">
        <f aca="false">E204+D205</f>
        <v>0.997942019032208</v>
      </c>
      <c r="F205" s="7" t="str">
        <f aca="false">IF(E205&lt;=0.7,"A",IF(E205&lt;=0.9,"B","C"))</f>
        <v>C</v>
      </c>
      <c r="G205" s="7" t="n">
        <v>868</v>
      </c>
      <c r="H205" s="7" t="n">
        <v>50</v>
      </c>
    </row>
    <row r="206" customFormat="false" ht="15" hidden="false" customHeight="false" outlineLevel="0" collapsed="false">
      <c r="A206" s="7" t="n">
        <v>205</v>
      </c>
      <c r="B206" s="7" t="s">
        <v>1170</v>
      </c>
      <c r="C206" s="7" t="n">
        <v>8.4</v>
      </c>
      <c r="D206" s="8" t="n">
        <f aca="false">C206/SUM($C$2:$C$365)</f>
        <v>4.93915432270082E-005</v>
      </c>
      <c r="E206" s="8" t="n">
        <f aca="false">E205+D206</f>
        <v>0.997991410575435</v>
      </c>
      <c r="F206" s="7" t="str">
        <f aca="false">IF(E206&lt;=0.7,"A",IF(E206&lt;=0.9,"B","C"))</f>
        <v>C</v>
      </c>
      <c r="G206" s="7" t="n">
        <v>67</v>
      </c>
      <c r="H206" s="7" t="n">
        <v>50</v>
      </c>
    </row>
    <row r="207" customFormat="false" ht="15" hidden="false" customHeight="false" outlineLevel="0" collapsed="false">
      <c r="A207" s="7" t="n">
        <v>206</v>
      </c>
      <c r="B207" s="7" t="s">
        <v>1171</v>
      </c>
      <c r="C207" s="7" t="n">
        <v>7.8</v>
      </c>
      <c r="D207" s="8" t="n">
        <f aca="false">C207/SUM($C$2:$C$365)</f>
        <v>4.58635758536505E-005</v>
      </c>
      <c r="E207" s="8" t="n">
        <f aca="false">E206+D207</f>
        <v>0.998037274151289</v>
      </c>
      <c r="F207" s="7" t="str">
        <f aca="false">IF(E207&lt;=0.7,"A",IF(E207&lt;=0.9,"B","C"))</f>
        <v>C</v>
      </c>
      <c r="G207" s="7" t="n">
        <v>98</v>
      </c>
      <c r="H207" s="7" t="n">
        <v>0</v>
      </c>
    </row>
    <row r="208" customFormat="false" ht="15" hidden="false" customHeight="false" outlineLevel="0" collapsed="false">
      <c r="A208" s="7" t="n">
        <v>207</v>
      </c>
      <c r="B208" s="7" t="s">
        <v>1172</v>
      </c>
      <c r="C208" s="7" t="n">
        <v>7.6</v>
      </c>
      <c r="D208" s="8" t="n">
        <f aca="false">C208/SUM($C$2:$C$365)</f>
        <v>4.46875867291979E-005</v>
      </c>
      <c r="E208" s="8" t="n">
        <f aca="false">E207+D208</f>
        <v>0.998081961738018</v>
      </c>
      <c r="F208" s="7" t="str">
        <f aca="false">IF(E208&lt;=0.7,"A",IF(E208&lt;=0.9,"B","C"))</f>
        <v>C</v>
      </c>
      <c r="G208" s="7" t="n">
        <v>224</v>
      </c>
      <c r="H208" s="7" t="n">
        <v>50</v>
      </c>
    </row>
    <row r="209" customFormat="false" ht="15" hidden="false" customHeight="false" outlineLevel="0" collapsed="false">
      <c r="A209" s="7" t="n">
        <v>208</v>
      </c>
      <c r="B209" s="7" t="s">
        <v>1173</v>
      </c>
      <c r="C209" s="7" t="n">
        <v>7</v>
      </c>
      <c r="D209" s="8" t="n">
        <f aca="false">C209/SUM($C$2:$C$365)</f>
        <v>4.11596193558402E-005</v>
      </c>
      <c r="E209" s="8" t="n">
        <f aca="false">E208+D209</f>
        <v>0.998123121357374</v>
      </c>
      <c r="F209" s="7" t="str">
        <f aca="false">IF(E209&lt;=0.7,"A",IF(E209&lt;=0.9,"B","C"))</f>
        <v>C</v>
      </c>
      <c r="G209" s="7" t="n">
        <v>266</v>
      </c>
      <c r="H209" s="7" t="n">
        <v>0</v>
      </c>
    </row>
    <row r="210" customFormat="false" ht="15" hidden="false" customHeight="false" outlineLevel="0" collapsed="false">
      <c r="A210" s="7" t="n">
        <v>209</v>
      </c>
      <c r="B210" s="7" t="s">
        <v>1174</v>
      </c>
      <c r="C210" s="7" t="n">
        <v>7</v>
      </c>
      <c r="D210" s="8" t="n">
        <f aca="false">C210/SUM($C$2:$C$365)</f>
        <v>4.11596193558402E-005</v>
      </c>
      <c r="E210" s="8" t="n">
        <f aca="false">E209+D210</f>
        <v>0.99816428097673</v>
      </c>
      <c r="F210" s="7" t="str">
        <f aca="false">IF(E210&lt;=0.7,"A",IF(E210&lt;=0.9,"B","C"))</f>
        <v>C</v>
      </c>
      <c r="G210" s="7" t="n">
        <v>75</v>
      </c>
      <c r="H210" s="7" t="n">
        <v>100</v>
      </c>
    </row>
    <row r="211" customFormat="false" ht="15" hidden="false" customHeight="false" outlineLevel="0" collapsed="false">
      <c r="A211" s="7" t="n">
        <v>210</v>
      </c>
      <c r="B211" s="7" t="s">
        <v>1175</v>
      </c>
      <c r="C211" s="7" t="n">
        <v>7</v>
      </c>
      <c r="D211" s="8" t="n">
        <f aca="false">C211/SUM($C$2:$C$365)</f>
        <v>4.11596193558402E-005</v>
      </c>
      <c r="E211" s="8" t="n">
        <f aca="false">E210+D211</f>
        <v>0.998205440596085</v>
      </c>
      <c r="F211" s="7" t="str">
        <f aca="false">IF(E211&lt;=0.7,"A",IF(E211&lt;=0.9,"B","C"))</f>
        <v>C</v>
      </c>
      <c r="G211" s="7" t="n">
        <v>20</v>
      </c>
      <c r="H211" s="7" t="n">
        <v>50</v>
      </c>
    </row>
    <row r="212" customFormat="false" ht="15" hidden="false" customHeight="false" outlineLevel="0" collapsed="false">
      <c r="A212" s="7" t="n">
        <v>211</v>
      </c>
      <c r="B212" s="7" t="s">
        <v>1176</v>
      </c>
      <c r="C212" s="7" t="n">
        <v>6.8</v>
      </c>
      <c r="D212" s="8" t="n">
        <f aca="false">C212/SUM($C$2:$C$365)</f>
        <v>3.99836302313876E-005</v>
      </c>
      <c r="E212" s="8" t="n">
        <f aca="false">E211+D212</f>
        <v>0.998245424226317</v>
      </c>
      <c r="F212" s="7" t="str">
        <f aca="false">IF(E212&lt;=0.7,"A",IF(E212&lt;=0.9,"B","C"))</f>
        <v>C</v>
      </c>
      <c r="G212" s="7" t="n">
        <v>41</v>
      </c>
      <c r="H212" s="7" t="n">
        <v>0</v>
      </c>
    </row>
    <row r="213" customFormat="false" ht="15" hidden="false" customHeight="false" outlineLevel="0" collapsed="false">
      <c r="A213" s="7" t="n">
        <v>212</v>
      </c>
      <c r="B213" s="7" t="s">
        <v>1177</v>
      </c>
      <c r="C213" s="7" t="n">
        <v>6.8</v>
      </c>
      <c r="D213" s="8" t="n">
        <f aca="false">C213/SUM($C$2:$C$365)</f>
        <v>3.99836302313876E-005</v>
      </c>
      <c r="E213" s="8" t="n">
        <f aca="false">E212+D213</f>
        <v>0.998285407856548</v>
      </c>
      <c r="F213" s="7" t="str">
        <f aca="false">IF(E213&lt;=0.7,"A",IF(E213&lt;=0.9,"B","C"))</f>
        <v>C</v>
      </c>
      <c r="G213" s="7" t="n">
        <v>341</v>
      </c>
      <c r="H213" s="7" t="n">
        <v>0</v>
      </c>
    </row>
    <row r="214" customFormat="false" ht="15" hidden="false" customHeight="false" outlineLevel="0" collapsed="false">
      <c r="A214" s="7" t="n">
        <v>213</v>
      </c>
      <c r="B214" s="7" t="s">
        <v>1178</v>
      </c>
      <c r="C214" s="7" t="n">
        <v>6.2</v>
      </c>
      <c r="D214" s="8" t="n">
        <f aca="false">C214/SUM($C$2:$C$365)</f>
        <v>3.64556628580299E-005</v>
      </c>
      <c r="E214" s="8" t="n">
        <f aca="false">E213+D214</f>
        <v>0.998321863519406</v>
      </c>
      <c r="F214" s="7" t="str">
        <f aca="false">IF(E214&lt;=0.7,"A",IF(E214&lt;=0.9,"B","C"))</f>
        <v>C</v>
      </c>
      <c r="G214" s="7" t="n">
        <v>43</v>
      </c>
      <c r="H214" s="7" t="n">
        <v>50</v>
      </c>
    </row>
    <row r="215" customFormat="false" ht="15" hidden="false" customHeight="false" outlineLevel="0" collapsed="false">
      <c r="A215" s="7" t="n">
        <v>214</v>
      </c>
      <c r="B215" s="7" t="s">
        <v>1179</v>
      </c>
      <c r="C215" s="7" t="n">
        <v>5.9</v>
      </c>
      <c r="D215" s="8" t="n">
        <f aca="false">C215/SUM($C$2:$C$365)</f>
        <v>3.4691679171351E-005</v>
      </c>
      <c r="E215" s="8" t="n">
        <f aca="false">E214+D215</f>
        <v>0.998356555198578</v>
      </c>
      <c r="F215" s="7" t="str">
        <f aca="false">IF(E215&lt;=0.7,"A",IF(E215&lt;=0.9,"B","C"))</f>
        <v>C</v>
      </c>
      <c r="G215" s="7" t="n">
        <v>305</v>
      </c>
      <c r="H215" s="7" t="n">
        <v>100</v>
      </c>
    </row>
    <row r="216" customFormat="false" ht="15" hidden="false" customHeight="false" outlineLevel="0" collapsed="false">
      <c r="A216" s="7" t="n">
        <v>215</v>
      </c>
      <c r="B216" s="7" t="s">
        <v>1180</v>
      </c>
      <c r="C216" s="7" t="n">
        <v>5.9</v>
      </c>
      <c r="D216" s="8" t="n">
        <f aca="false">C216/SUM($C$2:$C$365)</f>
        <v>3.4691679171351E-005</v>
      </c>
      <c r="E216" s="8" t="n">
        <f aca="false">E215+D216</f>
        <v>0.998391246877749</v>
      </c>
      <c r="F216" s="7" t="str">
        <f aca="false">IF(E216&lt;=0.7,"A",IF(E216&lt;=0.9,"B","C"))</f>
        <v>C</v>
      </c>
      <c r="G216" s="7" t="n">
        <v>34</v>
      </c>
      <c r="H216" s="7" t="n">
        <v>0</v>
      </c>
    </row>
    <row r="217" customFormat="false" ht="15" hidden="false" customHeight="false" outlineLevel="0" collapsed="false">
      <c r="A217" s="7" t="n">
        <v>216</v>
      </c>
      <c r="B217" s="7" t="s">
        <v>1181</v>
      </c>
      <c r="C217" s="7" t="n">
        <v>5.9</v>
      </c>
      <c r="D217" s="8" t="n">
        <f aca="false">C217/SUM($C$2:$C$365)</f>
        <v>3.4691679171351E-005</v>
      </c>
      <c r="E217" s="8" t="n">
        <f aca="false">E216+D217</f>
        <v>0.99842593855692</v>
      </c>
      <c r="F217" s="7" t="str">
        <f aca="false">IF(E217&lt;=0.7,"A",IF(E217&lt;=0.9,"B","C"))</f>
        <v>C</v>
      </c>
      <c r="G217" s="7" t="n">
        <v>64</v>
      </c>
      <c r="H217" s="7" t="n">
        <v>50</v>
      </c>
    </row>
    <row r="218" customFormat="false" ht="15" hidden="false" customHeight="false" outlineLevel="0" collapsed="false">
      <c r="A218" s="7" t="n">
        <v>217</v>
      </c>
      <c r="B218" s="7" t="s">
        <v>1182</v>
      </c>
      <c r="C218" s="7" t="n">
        <v>5.4</v>
      </c>
      <c r="D218" s="8" t="n">
        <f aca="false">C218/SUM($C$2:$C$365)</f>
        <v>3.17517063602196E-005</v>
      </c>
      <c r="E218" s="8" t="n">
        <f aca="false">E217+D218</f>
        <v>0.998457690263281</v>
      </c>
      <c r="F218" s="7" t="str">
        <f aca="false">IF(E218&lt;=0.7,"A",IF(E218&lt;=0.9,"B","C"))</f>
        <v>C</v>
      </c>
      <c r="G218" s="7" t="n">
        <v>210</v>
      </c>
      <c r="H218" s="7" t="n">
        <v>0</v>
      </c>
    </row>
    <row r="219" customFormat="false" ht="15" hidden="false" customHeight="false" outlineLevel="0" collapsed="false">
      <c r="A219" s="7" t="n">
        <v>218</v>
      </c>
      <c r="B219" s="7" t="s">
        <v>1183</v>
      </c>
      <c r="C219" s="7" t="n">
        <v>5.4</v>
      </c>
      <c r="D219" s="8" t="n">
        <f aca="false">C219/SUM($C$2:$C$365)</f>
        <v>3.17517063602196E-005</v>
      </c>
      <c r="E219" s="8" t="n">
        <f aca="false">E218+D219</f>
        <v>0.998489441969641</v>
      </c>
      <c r="F219" s="7" t="str">
        <f aca="false">IF(E219&lt;=0.7,"A",IF(E219&lt;=0.9,"B","C"))</f>
        <v>C</v>
      </c>
      <c r="G219" s="7" t="n">
        <v>471</v>
      </c>
      <c r="H219" s="7" t="n">
        <v>100</v>
      </c>
    </row>
    <row r="220" customFormat="false" ht="15" hidden="false" customHeight="false" outlineLevel="0" collapsed="false">
      <c r="A220" s="7" t="n">
        <v>219</v>
      </c>
      <c r="B220" s="7" t="s">
        <v>1184</v>
      </c>
      <c r="C220" s="7" t="n">
        <v>5.1</v>
      </c>
      <c r="D220" s="8" t="n">
        <f aca="false">C220/SUM($C$2:$C$365)</f>
        <v>2.99877226735407E-005</v>
      </c>
      <c r="E220" s="8" t="n">
        <f aca="false">E219+D220</f>
        <v>0.998519429692314</v>
      </c>
      <c r="F220" s="7" t="str">
        <f aca="false">IF(E220&lt;=0.7,"A",IF(E220&lt;=0.9,"B","C"))</f>
        <v>C</v>
      </c>
      <c r="G220" s="7" t="n">
        <v>2778</v>
      </c>
      <c r="H220" s="7" t="n">
        <v>0</v>
      </c>
    </row>
    <row r="221" customFormat="false" ht="15" hidden="false" customHeight="false" outlineLevel="0" collapsed="false">
      <c r="A221" s="7" t="n">
        <v>220</v>
      </c>
      <c r="B221" s="7" t="s">
        <v>1185</v>
      </c>
      <c r="C221" s="7" t="n">
        <v>5.1</v>
      </c>
      <c r="D221" s="8" t="n">
        <f aca="false">C221/SUM($C$2:$C$365)</f>
        <v>2.99877226735407E-005</v>
      </c>
      <c r="E221" s="8" t="n">
        <f aca="false">E220+D221</f>
        <v>0.998549417414988</v>
      </c>
      <c r="F221" s="7" t="str">
        <f aca="false">IF(E221&lt;=0.7,"A",IF(E221&lt;=0.9,"B","C"))</f>
        <v>C</v>
      </c>
      <c r="G221" s="7" t="n">
        <v>127</v>
      </c>
      <c r="H221" s="7" t="n">
        <v>50</v>
      </c>
    </row>
    <row r="222" customFormat="false" ht="15" hidden="false" customHeight="false" outlineLevel="0" collapsed="false">
      <c r="A222" s="7" t="n">
        <v>221</v>
      </c>
      <c r="B222" s="7" t="s">
        <v>1186</v>
      </c>
      <c r="C222" s="7" t="n">
        <v>5.1</v>
      </c>
      <c r="D222" s="8" t="n">
        <f aca="false">C222/SUM($C$2:$C$365)</f>
        <v>2.99877226735407E-005</v>
      </c>
      <c r="E222" s="8" t="n">
        <f aca="false">E221+D222</f>
        <v>0.998579405137661</v>
      </c>
      <c r="F222" s="7" t="str">
        <f aca="false">IF(E222&lt;=0.7,"A",IF(E222&lt;=0.9,"B","C"))</f>
        <v>C</v>
      </c>
      <c r="G222" s="7" t="n">
        <v>13</v>
      </c>
      <c r="H222" s="7" t="n">
        <v>100</v>
      </c>
    </row>
    <row r="223" customFormat="false" ht="15" hidden="false" customHeight="false" outlineLevel="0" collapsed="false">
      <c r="A223" s="7" t="n">
        <v>222</v>
      </c>
      <c r="B223" s="7" t="s">
        <v>1187</v>
      </c>
      <c r="C223" s="7" t="n">
        <v>4.9</v>
      </c>
      <c r="D223" s="8" t="n">
        <f aca="false">C223/SUM($C$2:$C$365)</f>
        <v>2.88117335490881E-005</v>
      </c>
      <c r="E223" s="8" t="n">
        <f aca="false">E222+D223</f>
        <v>0.99860821687121</v>
      </c>
      <c r="F223" s="7" t="str">
        <f aca="false">IF(E223&lt;=0.7,"A",IF(E223&lt;=0.9,"B","C"))</f>
        <v>C</v>
      </c>
      <c r="G223" s="7" t="n">
        <v>239</v>
      </c>
      <c r="H223" s="7" t="n">
        <v>0</v>
      </c>
    </row>
    <row r="224" customFormat="false" ht="15" hidden="false" customHeight="false" outlineLevel="0" collapsed="false">
      <c r="A224" s="7" t="n">
        <v>223</v>
      </c>
      <c r="B224" s="7" t="s">
        <v>1188</v>
      </c>
      <c r="C224" s="7" t="n">
        <v>4.9</v>
      </c>
      <c r="D224" s="8" t="n">
        <f aca="false">C224/SUM($C$2:$C$365)</f>
        <v>2.88117335490881E-005</v>
      </c>
      <c r="E224" s="8" t="n">
        <f aca="false">E223+D224</f>
        <v>0.998637028604759</v>
      </c>
      <c r="F224" s="7" t="str">
        <f aca="false">IF(E224&lt;=0.7,"A",IF(E224&lt;=0.9,"B","C"))</f>
        <v>C</v>
      </c>
      <c r="G224" s="7" t="n">
        <v>64</v>
      </c>
      <c r="H224" s="7" t="n">
        <v>50</v>
      </c>
    </row>
    <row r="225" customFormat="false" ht="15" hidden="false" customHeight="false" outlineLevel="0" collapsed="false">
      <c r="A225" s="7" t="n">
        <v>224</v>
      </c>
      <c r="B225" s="7" t="s">
        <v>1189</v>
      </c>
      <c r="C225" s="7" t="n">
        <v>4.9</v>
      </c>
      <c r="D225" s="8" t="n">
        <f aca="false">C225/SUM($C$2:$C$365)</f>
        <v>2.88117335490881E-005</v>
      </c>
      <c r="E225" s="8" t="n">
        <f aca="false">E224+D225</f>
        <v>0.998665840338308</v>
      </c>
      <c r="F225" s="7" t="str">
        <f aca="false">IF(E225&lt;=0.7,"A",IF(E225&lt;=0.9,"B","C"))</f>
        <v>C</v>
      </c>
      <c r="G225" s="7" t="n">
        <v>681</v>
      </c>
      <c r="H225" s="7" t="n">
        <v>50</v>
      </c>
    </row>
    <row r="226" customFormat="false" ht="15" hidden="false" customHeight="false" outlineLevel="0" collapsed="false">
      <c r="A226" s="7" t="n">
        <v>225</v>
      </c>
      <c r="B226" s="7" t="s">
        <v>1190</v>
      </c>
      <c r="C226" s="7" t="n">
        <v>4.6</v>
      </c>
      <c r="D226" s="8" t="n">
        <f aca="false">C226/SUM($C$2:$C$365)</f>
        <v>2.70477498624093E-005</v>
      </c>
      <c r="E226" s="8" t="n">
        <f aca="false">E225+D226</f>
        <v>0.998692888088171</v>
      </c>
      <c r="F226" s="7" t="str">
        <f aca="false">IF(E226&lt;=0.7,"A",IF(E226&lt;=0.9,"B","C"))</f>
        <v>C</v>
      </c>
      <c r="G226" s="7" t="n">
        <v>66</v>
      </c>
      <c r="H226" s="7" t="n">
        <v>50</v>
      </c>
    </row>
    <row r="227" customFormat="false" ht="15" hidden="false" customHeight="false" outlineLevel="0" collapsed="false">
      <c r="A227" s="7" t="n">
        <v>226</v>
      </c>
      <c r="B227" s="7" t="s">
        <v>1191</v>
      </c>
      <c r="C227" s="7" t="n">
        <v>4.6</v>
      </c>
      <c r="D227" s="8" t="n">
        <f aca="false">C227/SUM($C$2:$C$365)</f>
        <v>2.70477498624093E-005</v>
      </c>
      <c r="E227" s="8" t="n">
        <f aca="false">E226+D227</f>
        <v>0.998719935838033</v>
      </c>
      <c r="F227" s="7" t="str">
        <f aca="false">IF(E227&lt;=0.7,"A",IF(E227&lt;=0.9,"B","C"))</f>
        <v>C</v>
      </c>
      <c r="G227" s="7" t="n">
        <v>244</v>
      </c>
      <c r="H227" s="7" t="n">
        <v>50</v>
      </c>
    </row>
    <row r="228" customFormat="false" ht="15" hidden="false" customHeight="false" outlineLevel="0" collapsed="false">
      <c r="A228" s="7" t="n">
        <v>227</v>
      </c>
      <c r="B228" s="7" t="s">
        <v>1192</v>
      </c>
      <c r="C228" s="7" t="n">
        <v>4.6</v>
      </c>
      <c r="D228" s="8" t="n">
        <f aca="false">C228/SUM($C$2:$C$365)</f>
        <v>2.70477498624093E-005</v>
      </c>
      <c r="E228" s="8" t="n">
        <f aca="false">E227+D228</f>
        <v>0.998746983587896</v>
      </c>
      <c r="F228" s="7" t="str">
        <f aca="false">IF(E228&lt;=0.7,"A",IF(E228&lt;=0.9,"B","C"))</f>
        <v>C</v>
      </c>
      <c r="G228" s="7" t="n">
        <v>139</v>
      </c>
      <c r="H228" s="7" t="n">
        <v>200</v>
      </c>
    </row>
    <row r="229" customFormat="false" ht="15" hidden="false" customHeight="false" outlineLevel="0" collapsed="false">
      <c r="A229" s="7" t="n">
        <v>228</v>
      </c>
      <c r="B229" s="7" t="s">
        <v>1193</v>
      </c>
      <c r="C229" s="7" t="n">
        <v>4.6</v>
      </c>
      <c r="D229" s="8" t="n">
        <f aca="false">C229/SUM($C$2:$C$365)</f>
        <v>2.70477498624093E-005</v>
      </c>
      <c r="E229" s="8" t="n">
        <f aca="false">E228+D229</f>
        <v>0.998774031337758</v>
      </c>
      <c r="F229" s="7" t="str">
        <f aca="false">IF(E229&lt;=0.7,"A",IF(E229&lt;=0.9,"B","C"))</f>
        <v>C</v>
      </c>
      <c r="G229" s="7" t="n">
        <v>271</v>
      </c>
      <c r="H229" s="7" t="n">
        <v>50</v>
      </c>
    </row>
    <row r="230" customFormat="false" ht="15" hidden="false" customHeight="false" outlineLevel="0" collapsed="false">
      <c r="A230" s="7" t="n">
        <v>229</v>
      </c>
      <c r="B230" s="7" t="s">
        <v>1194</v>
      </c>
      <c r="C230" s="7" t="n">
        <v>4.3</v>
      </c>
      <c r="D230" s="8" t="n">
        <f aca="false">C230/SUM($C$2:$C$365)</f>
        <v>2.52837661757304E-005</v>
      </c>
      <c r="E230" s="8" t="n">
        <f aca="false">E229+D230</f>
        <v>0.998799315103934</v>
      </c>
      <c r="F230" s="7" t="str">
        <f aca="false">IF(E230&lt;=0.7,"A",IF(E230&lt;=0.9,"B","C"))</f>
        <v>C</v>
      </c>
      <c r="G230" s="7" t="n">
        <v>216</v>
      </c>
      <c r="H230" s="7" t="n">
        <v>0</v>
      </c>
    </row>
    <row r="231" customFormat="false" ht="15" hidden="false" customHeight="false" outlineLevel="0" collapsed="false">
      <c r="A231" s="7" t="n">
        <v>230</v>
      </c>
      <c r="B231" s="7" t="s">
        <v>1195</v>
      </c>
      <c r="C231" s="7" t="n">
        <v>4.3</v>
      </c>
      <c r="D231" s="8" t="n">
        <f aca="false">C231/SUM($C$2:$C$365)</f>
        <v>2.52837661757304E-005</v>
      </c>
      <c r="E231" s="8" t="n">
        <f aca="false">E230+D231</f>
        <v>0.998824598870109</v>
      </c>
      <c r="F231" s="7" t="str">
        <f aca="false">IF(E231&lt;=0.7,"A",IF(E231&lt;=0.9,"B","C"))</f>
        <v>C</v>
      </c>
      <c r="G231" s="7" t="n">
        <v>100</v>
      </c>
      <c r="H231" s="7" t="n">
        <v>0</v>
      </c>
    </row>
    <row r="232" customFormat="false" ht="15" hidden="false" customHeight="false" outlineLevel="0" collapsed="false">
      <c r="A232" s="7" t="n">
        <v>231</v>
      </c>
      <c r="B232" s="7" t="s">
        <v>1196</v>
      </c>
      <c r="C232" s="7" t="n">
        <v>4.3</v>
      </c>
      <c r="D232" s="8" t="n">
        <f aca="false">C232/SUM($C$2:$C$365)</f>
        <v>2.52837661757304E-005</v>
      </c>
      <c r="E232" s="8" t="n">
        <f aca="false">E231+D232</f>
        <v>0.998849882636285</v>
      </c>
      <c r="F232" s="7" t="str">
        <f aca="false">IF(E232&lt;=0.7,"A",IF(E232&lt;=0.9,"B","C"))</f>
        <v>C</v>
      </c>
      <c r="G232" s="7" t="n">
        <v>769</v>
      </c>
      <c r="H232" s="7" t="n">
        <v>50</v>
      </c>
    </row>
    <row r="233" customFormat="false" ht="15" hidden="false" customHeight="false" outlineLevel="0" collapsed="false">
      <c r="A233" s="7" t="n">
        <v>232</v>
      </c>
      <c r="B233" s="7" t="s">
        <v>1197</v>
      </c>
      <c r="C233" s="7" t="n">
        <v>4.3</v>
      </c>
      <c r="D233" s="8" t="n">
        <f aca="false">C233/SUM($C$2:$C$365)</f>
        <v>2.52837661757304E-005</v>
      </c>
      <c r="E233" s="8" t="n">
        <f aca="false">E232+D233</f>
        <v>0.998875166402461</v>
      </c>
      <c r="F233" s="7" t="str">
        <f aca="false">IF(E233&lt;=0.7,"A",IF(E233&lt;=0.9,"B","C"))</f>
        <v>C</v>
      </c>
      <c r="G233" s="7" t="n">
        <v>404</v>
      </c>
      <c r="H233" s="7" t="n">
        <v>0</v>
      </c>
    </row>
    <row r="234" customFormat="false" ht="15" hidden="false" customHeight="false" outlineLevel="0" collapsed="false">
      <c r="A234" s="7" t="n">
        <v>233</v>
      </c>
      <c r="B234" s="7" t="s">
        <v>1198</v>
      </c>
      <c r="C234" s="7" t="n">
        <v>4.1</v>
      </c>
      <c r="D234" s="8" t="n">
        <f aca="false">C234/SUM($C$2:$C$365)</f>
        <v>2.41077770512778E-005</v>
      </c>
      <c r="E234" s="8" t="n">
        <f aca="false">E233+D234</f>
        <v>0.998899274179512</v>
      </c>
      <c r="F234" s="7" t="str">
        <f aca="false">IF(E234&lt;=0.7,"A",IF(E234&lt;=0.9,"B","C"))</f>
        <v>C</v>
      </c>
      <c r="G234" s="7" t="n">
        <v>571</v>
      </c>
      <c r="H234" s="7" t="n">
        <v>50</v>
      </c>
    </row>
    <row r="235" customFormat="false" ht="15" hidden="false" customHeight="false" outlineLevel="0" collapsed="false">
      <c r="A235" s="7" t="n">
        <v>234</v>
      </c>
      <c r="B235" s="7" t="s">
        <v>1199</v>
      </c>
      <c r="C235" s="7" t="n">
        <v>3.8</v>
      </c>
      <c r="D235" s="8" t="n">
        <f aca="false">C235/SUM($C$2:$C$365)</f>
        <v>2.2343793364599E-005</v>
      </c>
      <c r="E235" s="8" t="n">
        <f aca="false">E234+D235</f>
        <v>0.998921617972877</v>
      </c>
      <c r="F235" s="7" t="str">
        <f aca="false">IF(E235&lt;=0.7,"A",IF(E235&lt;=0.9,"B","C"))</f>
        <v>C</v>
      </c>
      <c r="G235" s="7" t="n">
        <v>208</v>
      </c>
      <c r="H235" s="7" t="n">
        <v>0</v>
      </c>
    </row>
    <row r="236" customFormat="false" ht="15" hidden="false" customHeight="false" outlineLevel="0" collapsed="false">
      <c r="A236" s="7" t="n">
        <v>235</v>
      </c>
      <c r="B236" s="7" t="s">
        <v>1200</v>
      </c>
      <c r="C236" s="7" t="n">
        <v>3.8</v>
      </c>
      <c r="D236" s="8" t="n">
        <f aca="false">C236/SUM($C$2:$C$365)</f>
        <v>2.2343793364599E-005</v>
      </c>
      <c r="E236" s="8" t="n">
        <f aca="false">E235+D236</f>
        <v>0.998943961766242</v>
      </c>
      <c r="F236" s="7" t="str">
        <f aca="false">IF(E236&lt;=0.7,"A",IF(E236&lt;=0.9,"B","C"))</f>
        <v>C</v>
      </c>
      <c r="G236" s="7" t="n">
        <v>273</v>
      </c>
      <c r="H236" s="7" t="n">
        <v>50</v>
      </c>
    </row>
    <row r="237" customFormat="false" ht="15" hidden="false" customHeight="false" outlineLevel="0" collapsed="false">
      <c r="A237" s="7" t="n">
        <v>236</v>
      </c>
      <c r="B237" s="7" t="s">
        <v>1201</v>
      </c>
      <c r="C237" s="7" t="n">
        <v>3.8</v>
      </c>
      <c r="D237" s="8" t="n">
        <f aca="false">C237/SUM($C$2:$C$365)</f>
        <v>2.2343793364599E-005</v>
      </c>
      <c r="E237" s="8" t="n">
        <f aca="false">E236+D237</f>
        <v>0.998966305559606</v>
      </c>
      <c r="F237" s="7" t="str">
        <f aca="false">IF(E237&lt;=0.7,"A",IF(E237&lt;=0.9,"B","C"))</f>
        <v>C</v>
      </c>
      <c r="G237" s="7" t="n">
        <v>43</v>
      </c>
      <c r="H237" s="7" t="n">
        <v>0</v>
      </c>
    </row>
    <row r="238" customFormat="false" ht="15" hidden="false" customHeight="false" outlineLevel="0" collapsed="false">
      <c r="A238" s="7" t="n">
        <v>237</v>
      </c>
      <c r="B238" s="7" t="s">
        <v>1202</v>
      </c>
      <c r="C238" s="7" t="n">
        <v>3.8</v>
      </c>
      <c r="D238" s="8" t="n">
        <f aca="false">C238/SUM($C$2:$C$365)</f>
        <v>2.2343793364599E-005</v>
      </c>
      <c r="E238" s="8" t="n">
        <f aca="false">E237+D238</f>
        <v>0.998988649352971</v>
      </c>
      <c r="F238" s="7" t="str">
        <f aca="false">IF(E238&lt;=0.7,"A",IF(E238&lt;=0.9,"B","C"))</f>
        <v>C</v>
      </c>
      <c r="G238" s="7" t="n">
        <v>878</v>
      </c>
      <c r="H238" s="7" t="n">
        <v>50</v>
      </c>
    </row>
    <row r="239" customFormat="false" ht="15" hidden="false" customHeight="false" outlineLevel="0" collapsed="false">
      <c r="A239" s="7" t="n">
        <v>238</v>
      </c>
      <c r="B239" s="7" t="s">
        <v>1203</v>
      </c>
      <c r="C239" s="7" t="n">
        <v>3.8</v>
      </c>
      <c r="D239" s="8" t="n">
        <f aca="false">C239/SUM($C$2:$C$365)</f>
        <v>2.2343793364599E-005</v>
      </c>
      <c r="E239" s="8" t="n">
        <f aca="false">E238+D239</f>
        <v>0.999010993146335</v>
      </c>
      <c r="F239" s="7" t="str">
        <f aca="false">IF(E239&lt;=0.7,"A",IF(E239&lt;=0.9,"B","C"))</f>
        <v>C</v>
      </c>
      <c r="G239" s="7" t="n">
        <v>970</v>
      </c>
      <c r="H239" s="7" t="n">
        <v>50</v>
      </c>
    </row>
    <row r="240" customFormat="false" ht="15" hidden="false" customHeight="false" outlineLevel="0" collapsed="false">
      <c r="A240" s="7" t="n">
        <v>239</v>
      </c>
      <c r="B240" s="7" t="s">
        <v>1204</v>
      </c>
      <c r="C240" s="7" t="n">
        <v>3.8</v>
      </c>
      <c r="D240" s="8" t="n">
        <f aca="false">C240/SUM($C$2:$C$365)</f>
        <v>2.2343793364599E-005</v>
      </c>
      <c r="E240" s="8" t="n">
        <f aca="false">E239+D240</f>
        <v>0.9990333369397</v>
      </c>
      <c r="F240" s="7" t="str">
        <f aca="false">IF(E240&lt;=0.7,"A",IF(E240&lt;=0.9,"B","C"))</f>
        <v>C</v>
      </c>
      <c r="G240" s="7" t="n">
        <v>46</v>
      </c>
      <c r="H240" s="7" t="n">
        <v>50</v>
      </c>
    </row>
    <row r="241" customFormat="false" ht="15" hidden="false" customHeight="false" outlineLevel="0" collapsed="false">
      <c r="A241" s="7" t="n">
        <v>240</v>
      </c>
      <c r="B241" s="7" t="s">
        <v>1205</v>
      </c>
      <c r="C241" s="7" t="n">
        <v>3.8</v>
      </c>
      <c r="D241" s="8" t="n">
        <f aca="false">C241/SUM($C$2:$C$365)</f>
        <v>2.2343793364599E-005</v>
      </c>
      <c r="E241" s="8" t="n">
        <f aca="false">E240+D241</f>
        <v>0.999055680733065</v>
      </c>
      <c r="F241" s="7" t="str">
        <f aca="false">IF(E241&lt;=0.7,"A",IF(E241&lt;=0.9,"B","C"))</f>
        <v>C</v>
      </c>
      <c r="G241" s="7" t="n">
        <v>82</v>
      </c>
      <c r="H241" s="7" t="n">
        <v>0</v>
      </c>
    </row>
    <row r="242" customFormat="false" ht="15" hidden="false" customHeight="false" outlineLevel="0" collapsed="false">
      <c r="A242" s="7" t="n">
        <v>241</v>
      </c>
      <c r="B242" s="7" t="s">
        <v>1206</v>
      </c>
      <c r="C242" s="7" t="n">
        <v>3.8</v>
      </c>
      <c r="D242" s="8" t="n">
        <f aca="false">C242/SUM($C$2:$C$365)</f>
        <v>2.2343793364599E-005</v>
      </c>
      <c r="E242" s="8" t="n">
        <f aca="false">E241+D242</f>
        <v>0.999078024526429</v>
      </c>
      <c r="F242" s="7" t="str">
        <f aca="false">IF(E242&lt;=0.7,"A",IF(E242&lt;=0.9,"B","C"))</f>
        <v>C</v>
      </c>
      <c r="G242" s="7" t="n">
        <v>2378</v>
      </c>
      <c r="H242" s="7" t="n">
        <v>50</v>
      </c>
    </row>
    <row r="243" customFormat="false" ht="15" hidden="false" customHeight="false" outlineLevel="0" collapsed="false">
      <c r="A243" s="7" t="n">
        <v>242</v>
      </c>
      <c r="B243" s="7" t="s">
        <v>1207</v>
      </c>
      <c r="C243" s="7" t="n">
        <v>3.8</v>
      </c>
      <c r="D243" s="8" t="n">
        <f aca="false">C243/SUM($C$2:$C$365)</f>
        <v>2.2343793364599E-005</v>
      </c>
      <c r="E243" s="8" t="n">
        <f aca="false">E242+D243</f>
        <v>0.999100368319794</v>
      </c>
      <c r="F243" s="7" t="str">
        <f aca="false">IF(E243&lt;=0.7,"A",IF(E243&lt;=0.9,"B","C"))</f>
        <v>C</v>
      </c>
      <c r="G243" s="7" t="n">
        <v>1706</v>
      </c>
      <c r="H243" s="7" t="n">
        <v>50</v>
      </c>
    </row>
    <row r="244" customFormat="false" ht="15" hidden="false" customHeight="false" outlineLevel="0" collapsed="false">
      <c r="A244" s="7" t="n">
        <v>243</v>
      </c>
      <c r="B244" s="7" t="s">
        <v>1208</v>
      </c>
      <c r="C244" s="7" t="n">
        <v>3.5</v>
      </c>
      <c r="D244" s="8" t="n">
        <f aca="false">C244/SUM($C$2:$C$365)</f>
        <v>2.05798096779201E-005</v>
      </c>
      <c r="E244" s="8" t="n">
        <f aca="false">E243+D244</f>
        <v>0.999120948129472</v>
      </c>
      <c r="F244" s="7" t="str">
        <f aca="false">IF(E244&lt;=0.7,"A",IF(E244&lt;=0.9,"B","C"))</f>
        <v>C</v>
      </c>
      <c r="G244" s="7" t="n">
        <v>287</v>
      </c>
      <c r="H244" s="7" t="n">
        <v>0</v>
      </c>
    </row>
    <row r="245" customFormat="false" ht="15" hidden="false" customHeight="false" outlineLevel="0" collapsed="false">
      <c r="A245" s="7" t="n">
        <v>244</v>
      </c>
      <c r="B245" s="7" t="s">
        <v>1209</v>
      </c>
      <c r="C245" s="7" t="n">
        <v>3.5</v>
      </c>
      <c r="D245" s="8" t="n">
        <f aca="false">C245/SUM($C$2:$C$365)</f>
        <v>2.05798096779201E-005</v>
      </c>
      <c r="E245" s="8" t="n">
        <f aca="false">E244+D245</f>
        <v>0.99914152793915</v>
      </c>
      <c r="F245" s="7" t="str">
        <f aca="false">IF(E245&lt;=0.7,"A",IF(E245&lt;=0.9,"B","C"))</f>
        <v>C</v>
      </c>
      <c r="G245" s="7" t="n">
        <v>160</v>
      </c>
      <c r="H245" s="7" t="n">
        <v>50</v>
      </c>
    </row>
    <row r="246" customFormat="false" ht="15" hidden="false" customHeight="false" outlineLevel="0" collapsed="false">
      <c r="A246" s="7" t="n">
        <v>245</v>
      </c>
      <c r="B246" s="7" t="s">
        <v>1210</v>
      </c>
      <c r="C246" s="7" t="n">
        <v>3.5</v>
      </c>
      <c r="D246" s="8" t="n">
        <f aca="false">C246/SUM($C$2:$C$365)</f>
        <v>2.05798096779201E-005</v>
      </c>
      <c r="E246" s="8" t="n">
        <f aca="false">E245+D246</f>
        <v>0.999162107748828</v>
      </c>
      <c r="F246" s="7" t="str">
        <f aca="false">IF(E246&lt;=0.7,"A",IF(E246&lt;=0.9,"B","C"))</f>
        <v>C</v>
      </c>
      <c r="G246" s="7" t="n">
        <v>139</v>
      </c>
      <c r="H246" s="7" t="n">
        <v>50</v>
      </c>
    </row>
    <row r="247" customFormat="false" ht="15" hidden="false" customHeight="false" outlineLevel="0" collapsed="false">
      <c r="A247" s="7" t="n">
        <v>246</v>
      </c>
      <c r="B247" s="7" t="s">
        <v>1211</v>
      </c>
      <c r="C247" s="7" t="n">
        <v>3.5</v>
      </c>
      <c r="D247" s="8" t="n">
        <f aca="false">C247/SUM($C$2:$C$365)</f>
        <v>2.05798096779201E-005</v>
      </c>
      <c r="E247" s="8" t="n">
        <f aca="false">E246+D247</f>
        <v>0.999182687558506</v>
      </c>
      <c r="F247" s="7" t="str">
        <f aca="false">IF(E247&lt;=0.7,"A",IF(E247&lt;=0.9,"B","C"))</f>
        <v>C</v>
      </c>
      <c r="G247" s="7" t="n">
        <v>409</v>
      </c>
      <c r="H247" s="7" t="n">
        <v>0</v>
      </c>
    </row>
    <row r="248" customFormat="false" ht="15" hidden="false" customHeight="false" outlineLevel="0" collapsed="false">
      <c r="A248" s="7" t="n">
        <v>247</v>
      </c>
      <c r="B248" s="7" t="s">
        <v>1212</v>
      </c>
      <c r="C248" s="7" t="n">
        <v>3.2</v>
      </c>
      <c r="D248" s="8" t="n">
        <f aca="false">C248/SUM($C$2:$C$365)</f>
        <v>1.88158259912412E-005</v>
      </c>
      <c r="E248" s="8" t="n">
        <f aca="false">E247+D248</f>
        <v>0.999201503384497</v>
      </c>
      <c r="F248" s="7" t="str">
        <f aca="false">IF(E248&lt;=0.7,"A",IF(E248&lt;=0.9,"B","C"))</f>
        <v>C</v>
      </c>
      <c r="G248" s="7" t="n">
        <v>88</v>
      </c>
      <c r="H248" s="7" t="n">
        <v>250</v>
      </c>
    </row>
    <row r="249" customFormat="false" ht="15" hidden="false" customHeight="false" outlineLevel="0" collapsed="false">
      <c r="A249" s="7" t="n">
        <v>248</v>
      </c>
      <c r="B249" s="7" t="s">
        <v>1213</v>
      </c>
      <c r="C249" s="7" t="n">
        <v>3.2</v>
      </c>
      <c r="D249" s="8" t="n">
        <f aca="false">C249/SUM($C$2:$C$365)</f>
        <v>1.88158259912412E-005</v>
      </c>
      <c r="E249" s="8" t="n">
        <f aca="false">E248+D249</f>
        <v>0.999220319210488</v>
      </c>
      <c r="F249" s="7" t="str">
        <f aca="false">IF(E249&lt;=0.7,"A",IF(E249&lt;=0.9,"B","C"))</f>
        <v>C</v>
      </c>
      <c r="G249" s="7" t="n">
        <v>512</v>
      </c>
      <c r="H249" s="7" t="n">
        <v>50</v>
      </c>
    </row>
    <row r="250" customFormat="false" ht="15" hidden="false" customHeight="false" outlineLevel="0" collapsed="false">
      <c r="A250" s="7" t="n">
        <v>249</v>
      </c>
      <c r="B250" s="7" t="s">
        <v>1214</v>
      </c>
      <c r="C250" s="7" t="n">
        <v>3.2</v>
      </c>
      <c r="D250" s="8" t="n">
        <f aca="false">C250/SUM($C$2:$C$365)</f>
        <v>1.88158259912412E-005</v>
      </c>
      <c r="E250" s="8" t="n">
        <f aca="false">E249+D250</f>
        <v>0.99923913503648</v>
      </c>
      <c r="F250" s="7" t="str">
        <f aca="false">IF(E250&lt;=0.7,"A",IF(E250&lt;=0.9,"B","C"))</f>
        <v>C</v>
      </c>
      <c r="G250" s="7" t="n">
        <v>3</v>
      </c>
      <c r="H250" s="7" t="n">
        <v>0</v>
      </c>
    </row>
    <row r="251" customFormat="false" ht="15" hidden="false" customHeight="false" outlineLevel="0" collapsed="false">
      <c r="A251" s="7" t="n">
        <v>250</v>
      </c>
      <c r="B251" s="7" t="s">
        <v>1215</v>
      </c>
      <c r="C251" s="7" t="n">
        <v>3.2</v>
      </c>
      <c r="D251" s="8" t="n">
        <f aca="false">C251/SUM($C$2:$C$365)</f>
        <v>1.88158259912412E-005</v>
      </c>
      <c r="E251" s="8" t="n">
        <f aca="false">E250+D251</f>
        <v>0.999257950862471</v>
      </c>
      <c r="F251" s="7" t="str">
        <f aca="false">IF(E251&lt;=0.7,"A",IF(E251&lt;=0.9,"B","C"))</f>
        <v>C</v>
      </c>
      <c r="G251" s="7" t="n">
        <v>1</v>
      </c>
      <c r="H251" s="7" t="n">
        <v>0</v>
      </c>
    </row>
    <row r="252" customFormat="false" ht="15" hidden="false" customHeight="false" outlineLevel="0" collapsed="false">
      <c r="A252" s="7" t="n">
        <v>251</v>
      </c>
      <c r="B252" s="7" t="s">
        <v>1216</v>
      </c>
      <c r="C252" s="7" t="n">
        <v>3</v>
      </c>
      <c r="D252" s="8" t="n">
        <f aca="false">C252/SUM($C$2:$C$365)</f>
        <v>1.76398368667887E-005</v>
      </c>
      <c r="E252" s="8" t="n">
        <f aca="false">E251+D252</f>
        <v>0.999275590699338</v>
      </c>
      <c r="F252" s="7" t="str">
        <f aca="false">IF(E252&lt;=0.7,"A",IF(E252&lt;=0.9,"B","C"))</f>
        <v>C</v>
      </c>
      <c r="G252" s="7" t="n">
        <v>196</v>
      </c>
      <c r="H252" s="7" t="n">
        <v>50</v>
      </c>
    </row>
    <row r="253" customFormat="false" ht="15" hidden="false" customHeight="false" outlineLevel="0" collapsed="false">
      <c r="A253" s="7" t="n">
        <v>252</v>
      </c>
      <c r="B253" s="7" t="s">
        <v>1217</v>
      </c>
      <c r="C253" s="7" t="n">
        <v>3</v>
      </c>
      <c r="D253" s="8" t="n">
        <f aca="false">C253/SUM($C$2:$C$365)</f>
        <v>1.76398368667887E-005</v>
      </c>
      <c r="E253" s="8" t="n">
        <f aca="false">E252+D253</f>
        <v>0.999293230536204</v>
      </c>
      <c r="F253" s="7" t="str">
        <f aca="false">IF(E253&lt;=0.7,"A",IF(E253&lt;=0.9,"B","C"))</f>
        <v>C</v>
      </c>
      <c r="G253" s="7" t="n">
        <v>91</v>
      </c>
      <c r="H253" s="7" t="n">
        <v>50</v>
      </c>
    </row>
    <row r="254" customFormat="false" ht="15" hidden="false" customHeight="false" outlineLevel="0" collapsed="false">
      <c r="A254" s="7" t="n">
        <v>253</v>
      </c>
      <c r="B254" s="7" t="s">
        <v>1218</v>
      </c>
      <c r="C254" s="7" t="n">
        <v>3</v>
      </c>
      <c r="D254" s="8" t="n">
        <f aca="false">C254/SUM($C$2:$C$365)</f>
        <v>1.76398368667887E-005</v>
      </c>
      <c r="E254" s="8" t="n">
        <f aca="false">E253+D254</f>
        <v>0.999310870373071</v>
      </c>
      <c r="F254" s="7" t="str">
        <f aca="false">IF(E254&lt;=0.7,"A",IF(E254&lt;=0.9,"B","C"))</f>
        <v>C</v>
      </c>
      <c r="G254" s="7" t="n">
        <v>30</v>
      </c>
      <c r="H254" s="7" t="n">
        <v>100</v>
      </c>
    </row>
    <row r="255" customFormat="false" ht="15" hidden="false" customHeight="false" outlineLevel="0" collapsed="false">
      <c r="A255" s="7" t="n">
        <v>254</v>
      </c>
      <c r="B255" s="7" t="s">
        <v>1219</v>
      </c>
      <c r="C255" s="7" t="n">
        <v>2.7</v>
      </c>
      <c r="D255" s="8" t="n">
        <f aca="false">C255/SUM($C$2:$C$365)</f>
        <v>1.58758531801098E-005</v>
      </c>
      <c r="E255" s="8" t="n">
        <f aca="false">E254+D255</f>
        <v>0.999326746226251</v>
      </c>
      <c r="F255" s="7" t="str">
        <f aca="false">IF(E255&lt;=0.7,"A",IF(E255&lt;=0.9,"B","C"))</f>
        <v>C</v>
      </c>
      <c r="G255" s="7" t="n">
        <v>50</v>
      </c>
      <c r="H255" s="7" t="n">
        <v>50</v>
      </c>
    </row>
    <row r="256" customFormat="false" ht="15" hidden="false" customHeight="false" outlineLevel="0" collapsed="false">
      <c r="A256" s="7" t="n">
        <v>255</v>
      </c>
      <c r="B256" s="7" t="s">
        <v>1220</v>
      </c>
      <c r="C256" s="7" t="n">
        <v>2.7</v>
      </c>
      <c r="D256" s="8" t="n">
        <f aca="false">C256/SUM($C$2:$C$365)</f>
        <v>1.58758531801098E-005</v>
      </c>
      <c r="E256" s="8" t="n">
        <f aca="false">E255+D256</f>
        <v>0.999342622079431</v>
      </c>
      <c r="F256" s="7" t="str">
        <f aca="false">IF(E256&lt;=0.7,"A",IF(E256&lt;=0.9,"B","C"))</f>
        <v>C</v>
      </c>
      <c r="G256" s="7" t="n">
        <v>102</v>
      </c>
      <c r="H256" s="7" t="n">
        <v>50</v>
      </c>
    </row>
    <row r="257" customFormat="false" ht="15" hidden="false" customHeight="false" outlineLevel="0" collapsed="false">
      <c r="A257" s="7" t="n">
        <v>256</v>
      </c>
      <c r="B257" s="7" t="s">
        <v>1221</v>
      </c>
      <c r="C257" s="7" t="n">
        <v>2.7</v>
      </c>
      <c r="D257" s="8" t="n">
        <f aca="false">C257/SUM($C$2:$C$365)</f>
        <v>1.58758531801098E-005</v>
      </c>
      <c r="E257" s="8" t="n">
        <f aca="false">E256+D257</f>
        <v>0.999358497932611</v>
      </c>
      <c r="F257" s="7" t="str">
        <f aca="false">IF(E257&lt;=0.7,"A",IF(E257&lt;=0.9,"B","C"))</f>
        <v>C</v>
      </c>
      <c r="G257" s="7" t="n">
        <v>86</v>
      </c>
      <c r="H257" s="7" t="n">
        <v>50</v>
      </c>
    </row>
    <row r="258" customFormat="false" ht="15" hidden="false" customHeight="false" outlineLevel="0" collapsed="false">
      <c r="A258" s="7" t="n">
        <v>257</v>
      </c>
      <c r="B258" s="7" t="s">
        <v>1222</v>
      </c>
      <c r="C258" s="7" t="n">
        <v>2.7</v>
      </c>
      <c r="D258" s="8" t="n">
        <f aca="false">C258/SUM($C$2:$C$365)</f>
        <v>1.58758531801098E-005</v>
      </c>
      <c r="E258" s="8" t="n">
        <f aca="false">E257+D258</f>
        <v>0.999374373785791</v>
      </c>
      <c r="F258" s="7" t="str">
        <f aca="false">IF(E258&lt;=0.7,"A",IF(E258&lt;=0.9,"B","C"))</f>
        <v>C</v>
      </c>
      <c r="G258" s="7" t="n">
        <v>270</v>
      </c>
      <c r="H258" s="7" t="n">
        <v>0</v>
      </c>
    </row>
    <row r="259" customFormat="false" ht="15" hidden="false" customHeight="false" outlineLevel="0" collapsed="false">
      <c r="A259" s="7" t="n">
        <v>258</v>
      </c>
      <c r="B259" s="7" t="s">
        <v>1223</v>
      </c>
      <c r="C259" s="7" t="n">
        <v>2.7</v>
      </c>
      <c r="D259" s="8" t="n">
        <f aca="false">C259/SUM($C$2:$C$365)</f>
        <v>1.58758531801098E-005</v>
      </c>
      <c r="E259" s="8" t="n">
        <f aca="false">E258+D259</f>
        <v>0.999390249638972</v>
      </c>
      <c r="F259" s="7" t="str">
        <f aca="false">IF(E259&lt;=0.7,"A",IF(E259&lt;=0.9,"B","C"))</f>
        <v>C</v>
      </c>
      <c r="G259" s="7" t="n">
        <v>598</v>
      </c>
      <c r="H259" s="7" t="n">
        <v>50</v>
      </c>
    </row>
    <row r="260" customFormat="false" ht="15" hidden="false" customHeight="false" outlineLevel="0" collapsed="false">
      <c r="A260" s="7" t="n">
        <v>259</v>
      </c>
      <c r="B260" s="7" t="s">
        <v>1224</v>
      </c>
      <c r="C260" s="7" t="n">
        <v>2.7</v>
      </c>
      <c r="D260" s="8" t="n">
        <f aca="false">C260/SUM($C$2:$C$365)</f>
        <v>1.58758531801098E-005</v>
      </c>
      <c r="E260" s="8" t="n">
        <f aca="false">E259+D260</f>
        <v>0.999406125492152</v>
      </c>
      <c r="F260" s="7" t="str">
        <f aca="false">IF(E260&lt;=0.7,"A",IF(E260&lt;=0.9,"B","C"))</f>
        <v>C</v>
      </c>
      <c r="G260" s="7" t="n">
        <v>2802</v>
      </c>
      <c r="H260" s="7" t="n">
        <v>0</v>
      </c>
    </row>
    <row r="261" customFormat="false" ht="15" hidden="false" customHeight="false" outlineLevel="0" collapsed="false">
      <c r="A261" s="7" t="n">
        <v>260</v>
      </c>
      <c r="B261" s="7" t="s">
        <v>1225</v>
      </c>
      <c r="C261" s="7" t="n">
        <v>2.7</v>
      </c>
      <c r="D261" s="8" t="n">
        <f aca="false">C261/SUM($C$2:$C$365)</f>
        <v>1.58758531801098E-005</v>
      </c>
      <c r="E261" s="8" t="n">
        <f aca="false">E260+D261</f>
        <v>0.999422001345332</v>
      </c>
      <c r="F261" s="7" t="str">
        <f aca="false">IF(E261&lt;=0.7,"A",IF(E261&lt;=0.9,"B","C"))</f>
        <v>C</v>
      </c>
      <c r="G261" s="7" t="n">
        <v>17</v>
      </c>
      <c r="H261" s="7" t="n">
        <v>50</v>
      </c>
    </row>
    <row r="262" customFormat="false" ht="15" hidden="false" customHeight="false" outlineLevel="0" collapsed="false">
      <c r="A262" s="7" t="n">
        <v>261</v>
      </c>
      <c r="B262" s="7" t="s">
        <v>1226</v>
      </c>
      <c r="C262" s="7" t="n">
        <v>2.7</v>
      </c>
      <c r="D262" s="8" t="n">
        <f aca="false">C262/SUM($C$2:$C$365)</f>
        <v>1.58758531801098E-005</v>
      </c>
      <c r="E262" s="8" t="n">
        <f aca="false">E261+D262</f>
        <v>0.999437877198512</v>
      </c>
      <c r="F262" s="7" t="str">
        <f aca="false">IF(E262&lt;=0.7,"A",IF(E262&lt;=0.9,"B","C"))</f>
        <v>C</v>
      </c>
      <c r="G262" s="7" t="n">
        <v>510</v>
      </c>
      <c r="H262" s="7" t="n">
        <v>700</v>
      </c>
    </row>
    <row r="263" customFormat="false" ht="15" hidden="false" customHeight="false" outlineLevel="0" collapsed="false">
      <c r="A263" s="7" t="n">
        <v>262</v>
      </c>
      <c r="B263" s="7" t="s">
        <v>1227</v>
      </c>
      <c r="C263" s="7" t="n">
        <v>2.7</v>
      </c>
      <c r="D263" s="8" t="n">
        <f aca="false">C263/SUM($C$2:$C$365)</f>
        <v>1.58758531801098E-005</v>
      </c>
      <c r="E263" s="8" t="n">
        <f aca="false">E262+D263</f>
        <v>0.999453753051692</v>
      </c>
      <c r="F263" s="7" t="str">
        <f aca="false">IF(E263&lt;=0.7,"A",IF(E263&lt;=0.9,"B","C"))</f>
        <v>C</v>
      </c>
      <c r="G263" s="7" t="n">
        <v>279</v>
      </c>
      <c r="H263" s="7" t="n">
        <v>0</v>
      </c>
    </row>
    <row r="264" customFormat="false" ht="15" hidden="false" customHeight="false" outlineLevel="0" collapsed="false">
      <c r="A264" s="7" t="n">
        <v>263</v>
      </c>
      <c r="B264" s="7" t="s">
        <v>1228</v>
      </c>
      <c r="C264" s="7" t="n">
        <v>2.7</v>
      </c>
      <c r="D264" s="8" t="n">
        <f aca="false">C264/SUM($C$2:$C$365)</f>
        <v>1.58758531801098E-005</v>
      </c>
      <c r="E264" s="8" t="n">
        <f aca="false">E263+D264</f>
        <v>0.999469628904872</v>
      </c>
      <c r="F264" s="7" t="str">
        <f aca="false">IF(E264&lt;=0.7,"A",IF(E264&lt;=0.9,"B","C"))</f>
        <v>C</v>
      </c>
      <c r="G264" s="7" t="n">
        <v>143</v>
      </c>
      <c r="H264" s="7" t="n">
        <v>0</v>
      </c>
    </row>
    <row r="265" customFormat="false" ht="15" hidden="false" customHeight="false" outlineLevel="0" collapsed="false">
      <c r="A265" s="7" t="n">
        <v>264</v>
      </c>
      <c r="B265" s="7" t="s">
        <v>1229</v>
      </c>
      <c r="C265" s="7" t="n">
        <v>2.7</v>
      </c>
      <c r="D265" s="8" t="n">
        <f aca="false">C265/SUM($C$2:$C$365)</f>
        <v>1.58758531801098E-005</v>
      </c>
      <c r="E265" s="8" t="n">
        <f aca="false">E264+D265</f>
        <v>0.999485504758052</v>
      </c>
      <c r="F265" s="7" t="str">
        <f aca="false">IF(E265&lt;=0.7,"A",IF(E265&lt;=0.9,"B","C"))</f>
        <v>C</v>
      </c>
      <c r="G265" s="7" t="n">
        <v>113</v>
      </c>
      <c r="H265" s="7" t="n">
        <v>50</v>
      </c>
    </row>
    <row r="266" customFormat="false" ht="15" hidden="false" customHeight="false" outlineLevel="0" collapsed="false">
      <c r="A266" s="7" t="n">
        <v>265</v>
      </c>
      <c r="B266" s="7" t="s">
        <v>1230</v>
      </c>
      <c r="C266" s="7" t="n">
        <v>2.4</v>
      </c>
      <c r="D266" s="8" t="n">
        <f aca="false">C266/SUM($C$2:$C$365)</f>
        <v>1.41118694934309E-005</v>
      </c>
      <c r="E266" s="8" t="n">
        <f aca="false">E265+D266</f>
        <v>0.999499616627545</v>
      </c>
      <c r="F266" s="7" t="str">
        <f aca="false">IF(E266&lt;=0.7,"A",IF(E266&lt;=0.9,"B","C"))</f>
        <v>C</v>
      </c>
      <c r="G266" s="7" t="n">
        <v>295</v>
      </c>
      <c r="H266" s="7" t="n">
        <v>0</v>
      </c>
    </row>
    <row r="267" customFormat="false" ht="15" hidden="false" customHeight="false" outlineLevel="0" collapsed="false">
      <c r="A267" s="7" t="n">
        <v>266</v>
      </c>
      <c r="B267" s="7" t="s">
        <v>1231</v>
      </c>
      <c r="C267" s="7" t="n">
        <v>2.4</v>
      </c>
      <c r="D267" s="8" t="n">
        <f aca="false">C267/SUM($C$2:$C$365)</f>
        <v>1.41118694934309E-005</v>
      </c>
      <c r="E267" s="8" t="n">
        <f aca="false">E266+D267</f>
        <v>0.999513728497039</v>
      </c>
      <c r="F267" s="7" t="str">
        <f aca="false">IF(E267&lt;=0.7,"A",IF(E267&lt;=0.9,"B","C"))</f>
        <v>C</v>
      </c>
      <c r="G267" s="7" t="n">
        <v>37</v>
      </c>
      <c r="H267" s="7" t="n">
        <v>50</v>
      </c>
    </row>
    <row r="268" customFormat="false" ht="15" hidden="false" customHeight="false" outlineLevel="0" collapsed="false">
      <c r="A268" s="7" t="n">
        <v>267</v>
      </c>
      <c r="B268" s="7" t="s">
        <v>1232</v>
      </c>
      <c r="C268" s="7" t="n">
        <v>2.4</v>
      </c>
      <c r="D268" s="8" t="n">
        <f aca="false">C268/SUM($C$2:$C$365)</f>
        <v>1.41118694934309E-005</v>
      </c>
      <c r="E268" s="8" t="n">
        <f aca="false">E267+D268</f>
        <v>0.999527840366532</v>
      </c>
      <c r="F268" s="7" t="str">
        <f aca="false">IF(E268&lt;=0.7,"A",IF(E268&lt;=0.9,"B","C"))</f>
        <v>C</v>
      </c>
      <c r="G268" s="7" t="n">
        <v>88</v>
      </c>
      <c r="H268" s="7" t="n">
        <v>50</v>
      </c>
    </row>
    <row r="269" customFormat="false" ht="15" hidden="false" customHeight="false" outlineLevel="0" collapsed="false">
      <c r="A269" s="7" t="n">
        <v>268</v>
      </c>
      <c r="B269" s="7" t="s">
        <v>1233</v>
      </c>
      <c r="C269" s="7" t="n">
        <v>2.4</v>
      </c>
      <c r="D269" s="8" t="n">
        <f aca="false">C269/SUM($C$2:$C$365)</f>
        <v>1.41118694934309E-005</v>
      </c>
      <c r="E269" s="8" t="n">
        <f aca="false">E268+D269</f>
        <v>0.999541952236026</v>
      </c>
      <c r="F269" s="7" t="str">
        <f aca="false">IF(E269&lt;=0.7,"A",IF(E269&lt;=0.9,"B","C"))</f>
        <v>C</v>
      </c>
      <c r="G269" s="7" t="n">
        <v>291</v>
      </c>
      <c r="H269" s="7" t="n">
        <v>100</v>
      </c>
    </row>
    <row r="270" customFormat="false" ht="15" hidden="false" customHeight="false" outlineLevel="0" collapsed="false">
      <c r="A270" s="7" t="n">
        <v>269</v>
      </c>
      <c r="B270" s="7" t="s">
        <v>1234</v>
      </c>
      <c r="C270" s="7" t="n">
        <v>2.2</v>
      </c>
      <c r="D270" s="8" t="n">
        <f aca="false">C270/SUM($C$2:$C$365)</f>
        <v>1.29358803689783E-005</v>
      </c>
      <c r="E270" s="8" t="n">
        <f aca="false">E269+D270</f>
        <v>0.999554888116395</v>
      </c>
      <c r="F270" s="7" t="str">
        <f aca="false">IF(E270&lt;=0.7,"A",IF(E270&lt;=0.9,"B","C"))</f>
        <v>C</v>
      </c>
      <c r="G270" s="7" t="n">
        <v>120</v>
      </c>
      <c r="H270" s="7" t="n">
        <v>50</v>
      </c>
    </row>
    <row r="271" customFormat="false" ht="15" hidden="false" customHeight="false" outlineLevel="0" collapsed="false">
      <c r="A271" s="7" t="n">
        <v>270</v>
      </c>
      <c r="B271" s="7" t="s">
        <v>1235</v>
      </c>
      <c r="C271" s="7" t="n">
        <v>1.9</v>
      </c>
      <c r="D271" s="8" t="n">
        <f aca="false">C271/SUM($C$2:$C$365)</f>
        <v>1.11718966822995E-005</v>
      </c>
      <c r="E271" s="8" t="n">
        <f aca="false">E270+D271</f>
        <v>0.999566060013077</v>
      </c>
      <c r="F271" s="7" t="str">
        <f aca="false">IF(E271&lt;=0.7,"A",IF(E271&lt;=0.9,"B","C"))</f>
        <v>C</v>
      </c>
      <c r="G271" s="7" t="n">
        <v>4</v>
      </c>
      <c r="H271" s="7" t="n">
        <v>0</v>
      </c>
    </row>
    <row r="272" customFormat="false" ht="15" hidden="false" customHeight="false" outlineLevel="0" collapsed="false">
      <c r="A272" s="7" t="n">
        <v>271</v>
      </c>
      <c r="B272" s="7" t="s">
        <v>1236</v>
      </c>
      <c r="C272" s="7" t="n">
        <v>1.9</v>
      </c>
      <c r="D272" s="8" t="n">
        <f aca="false">C272/SUM($C$2:$C$365)</f>
        <v>1.11718966822995E-005</v>
      </c>
      <c r="E272" s="8" t="n">
        <f aca="false">E271+D272</f>
        <v>0.999577231909759</v>
      </c>
      <c r="F272" s="7" t="str">
        <f aca="false">IF(E272&lt;=0.7,"A",IF(E272&lt;=0.9,"B","C"))</f>
        <v>C</v>
      </c>
      <c r="G272" s="7" t="n">
        <v>19</v>
      </c>
      <c r="H272" s="7" t="n">
        <v>0</v>
      </c>
    </row>
    <row r="273" customFormat="false" ht="15" hidden="false" customHeight="false" outlineLevel="0" collapsed="false">
      <c r="A273" s="7" t="n">
        <v>272</v>
      </c>
      <c r="B273" s="7" t="s">
        <v>1237</v>
      </c>
      <c r="C273" s="7" t="n">
        <v>1.9</v>
      </c>
      <c r="D273" s="8" t="n">
        <f aca="false">C273/SUM($C$2:$C$365)</f>
        <v>1.11718966822995E-005</v>
      </c>
      <c r="E273" s="8" t="n">
        <f aca="false">E272+D273</f>
        <v>0.999588403806442</v>
      </c>
      <c r="F273" s="7" t="str">
        <f aca="false">IF(E273&lt;=0.7,"A",IF(E273&lt;=0.9,"B","C"))</f>
        <v>C</v>
      </c>
      <c r="G273" s="7" t="n">
        <v>60</v>
      </c>
      <c r="H273" s="7" t="n">
        <v>0</v>
      </c>
    </row>
    <row r="274" customFormat="false" ht="15" hidden="false" customHeight="false" outlineLevel="0" collapsed="false">
      <c r="A274" s="7" t="n">
        <v>273</v>
      </c>
      <c r="B274" s="7" t="s">
        <v>1238</v>
      </c>
      <c r="C274" s="7" t="n">
        <v>1.9</v>
      </c>
      <c r="D274" s="8" t="n">
        <f aca="false">C274/SUM($C$2:$C$365)</f>
        <v>1.11718966822995E-005</v>
      </c>
      <c r="E274" s="8" t="n">
        <f aca="false">E273+D274</f>
        <v>0.999599575703124</v>
      </c>
      <c r="F274" s="7" t="str">
        <f aca="false">IF(E274&lt;=0.7,"A",IF(E274&lt;=0.9,"B","C"))</f>
        <v>C</v>
      </c>
      <c r="G274" s="7" t="n">
        <v>81</v>
      </c>
      <c r="H274" s="7" t="n">
        <v>50</v>
      </c>
    </row>
    <row r="275" customFormat="false" ht="15" hidden="false" customHeight="false" outlineLevel="0" collapsed="false">
      <c r="A275" s="7" t="n">
        <v>274</v>
      </c>
      <c r="B275" s="7" t="s">
        <v>1239</v>
      </c>
      <c r="C275" s="7" t="n">
        <v>1.9</v>
      </c>
      <c r="D275" s="8" t="n">
        <f aca="false">C275/SUM($C$2:$C$365)</f>
        <v>1.11718966822995E-005</v>
      </c>
      <c r="E275" s="8" t="n">
        <f aca="false">E274+D275</f>
        <v>0.999610747599806</v>
      </c>
      <c r="F275" s="7" t="str">
        <f aca="false">IF(E275&lt;=0.7,"A",IF(E275&lt;=0.9,"B","C"))</f>
        <v>C</v>
      </c>
      <c r="G275" s="7" t="n">
        <v>59</v>
      </c>
      <c r="H275" s="7" t="n">
        <v>50</v>
      </c>
    </row>
    <row r="276" customFormat="false" ht="15" hidden="false" customHeight="false" outlineLevel="0" collapsed="false">
      <c r="A276" s="7" t="n">
        <v>275</v>
      </c>
      <c r="B276" s="7" t="s">
        <v>1240</v>
      </c>
      <c r="C276" s="7" t="n">
        <v>1.9</v>
      </c>
      <c r="D276" s="8" t="n">
        <f aca="false">C276/SUM($C$2:$C$365)</f>
        <v>1.11718966822995E-005</v>
      </c>
      <c r="E276" s="8" t="n">
        <f aca="false">E275+D276</f>
        <v>0.999621919496489</v>
      </c>
      <c r="F276" s="7" t="str">
        <f aca="false">IF(E276&lt;=0.7,"A",IF(E276&lt;=0.9,"B","C"))</f>
        <v>C</v>
      </c>
      <c r="G276" s="7" t="n">
        <v>34</v>
      </c>
      <c r="H276" s="7" t="n">
        <v>50</v>
      </c>
    </row>
    <row r="277" customFormat="false" ht="15" hidden="false" customHeight="false" outlineLevel="0" collapsed="false">
      <c r="A277" s="7" t="n">
        <v>276</v>
      </c>
      <c r="B277" s="7" t="s">
        <v>1241</v>
      </c>
      <c r="C277" s="7" t="n">
        <v>1.6</v>
      </c>
      <c r="D277" s="8" t="n">
        <f aca="false">C277/SUM($C$2:$C$365)</f>
        <v>9.40791299562062E-006</v>
      </c>
      <c r="E277" s="8" t="n">
        <f aca="false">E276+D277</f>
        <v>0.999631327409484</v>
      </c>
      <c r="F277" s="7" t="str">
        <f aca="false">IF(E277&lt;=0.7,"A",IF(E277&lt;=0.9,"B","C"))</f>
        <v>C</v>
      </c>
      <c r="G277" s="7" t="n">
        <v>71</v>
      </c>
      <c r="H277" s="7" t="n">
        <v>50</v>
      </c>
    </row>
    <row r="278" customFormat="false" ht="15" hidden="false" customHeight="false" outlineLevel="0" collapsed="false">
      <c r="A278" s="7" t="n">
        <v>277</v>
      </c>
      <c r="B278" s="7" t="s">
        <v>1242</v>
      </c>
      <c r="C278" s="7" t="n">
        <v>1.6</v>
      </c>
      <c r="D278" s="8" t="n">
        <f aca="false">C278/SUM($C$2:$C$365)</f>
        <v>9.40791299562062E-006</v>
      </c>
      <c r="E278" s="8" t="n">
        <f aca="false">E277+D278</f>
        <v>0.99964073532248</v>
      </c>
      <c r="F278" s="7" t="str">
        <f aca="false">IF(E278&lt;=0.7,"A",IF(E278&lt;=0.9,"B","C"))</f>
        <v>C</v>
      </c>
      <c r="G278" s="7" t="n">
        <v>8</v>
      </c>
      <c r="H278" s="7" t="n">
        <v>0</v>
      </c>
    </row>
    <row r="279" customFormat="false" ht="15" hidden="false" customHeight="false" outlineLevel="0" collapsed="false">
      <c r="A279" s="7" t="n">
        <v>278</v>
      </c>
      <c r="B279" s="7" t="s">
        <v>1243</v>
      </c>
      <c r="C279" s="7" t="n">
        <v>1.6</v>
      </c>
      <c r="D279" s="8" t="n">
        <f aca="false">C279/SUM($C$2:$C$365)</f>
        <v>9.40791299562062E-006</v>
      </c>
      <c r="E279" s="8" t="n">
        <f aca="false">E278+D279</f>
        <v>0.999650143235475</v>
      </c>
      <c r="F279" s="7" t="str">
        <f aca="false">IF(E279&lt;=0.7,"A",IF(E279&lt;=0.9,"B","C"))</f>
        <v>C</v>
      </c>
      <c r="G279" s="7" t="n">
        <v>47</v>
      </c>
      <c r="H279" s="7" t="n">
        <v>50</v>
      </c>
    </row>
    <row r="280" customFormat="false" ht="15" hidden="false" customHeight="false" outlineLevel="0" collapsed="false">
      <c r="A280" s="7" t="n">
        <v>279</v>
      </c>
      <c r="B280" s="7" t="s">
        <v>1244</v>
      </c>
      <c r="C280" s="7" t="n">
        <v>1.6</v>
      </c>
      <c r="D280" s="8" t="n">
        <f aca="false">C280/SUM($C$2:$C$365)</f>
        <v>9.40791299562062E-006</v>
      </c>
      <c r="E280" s="8" t="n">
        <f aca="false">E279+D280</f>
        <v>0.999659551148471</v>
      </c>
      <c r="F280" s="7" t="str">
        <f aca="false">IF(E280&lt;=0.7,"A",IF(E280&lt;=0.9,"B","C"))</f>
        <v>C</v>
      </c>
      <c r="G280" s="7" t="n">
        <v>390</v>
      </c>
      <c r="H280" s="7" t="n">
        <v>50</v>
      </c>
    </row>
    <row r="281" customFormat="false" ht="15" hidden="false" customHeight="false" outlineLevel="0" collapsed="false">
      <c r="A281" s="7" t="n">
        <v>280</v>
      </c>
      <c r="B281" s="7" t="s">
        <v>1245</v>
      </c>
      <c r="C281" s="7" t="n">
        <v>1.6</v>
      </c>
      <c r="D281" s="8" t="n">
        <f aca="false">C281/SUM($C$2:$C$365)</f>
        <v>9.40791299562062E-006</v>
      </c>
      <c r="E281" s="8" t="n">
        <f aca="false">E280+D281</f>
        <v>0.999668959061467</v>
      </c>
      <c r="F281" s="7" t="str">
        <f aca="false">IF(E281&lt;=0.7,"A",IF(E281&lt;=0.9,"B","C"))</f>
        <v>C</v>
      </c>
      <c r="G281" s="7" t="n">
        <v>619</v>
      </c>
      <c r="H281" s="7" t="n">
        <v>50</v>
      </c>
    </row>
    <row r="282" customFormat="false" ht="15" hidden="false" customHeight="false" outlineLevel="0" collapsed="false">
      <c r="A282" s="7" t="n">
        <v>281</v>
      </c>
      <c r="B282" s="7" t="s">
        <v>1246</v>
      </c>
      <c r="C282" s="7" t="n">
        <v>1.6</v>
      </c>
      <c r="D282" s="8" t="n">
        <f aca="false">C282/SUM($C$2:$C$365)</f>
        <v>9.40791299562062E-006</v>
      </c>
      <c r="E282" s="8" t="n">
        <f aca="false">E281+D282</f>
        <v>0.999678366974462</v>
      </c>
      <c r="F282" s="7" t="str">
        <f aca="false">IF(E282&lt;=0.7,"A",IF(E282&lt;=0.9,"B","C"))</f>
        <v>C</v>
      </c>
      <c r="G282" s="7" t="n">
        <v>371</v>
      </c>
      <c r="H282" s="7" t="n">
        <v>50</v>
      </c>
    </row>
    <row r="283" customFormat="false" ht="15" hidden="false" customHeight="false" outlineLevel="0" collapsed="false">
      <c r="A283" s="7" t="n">
        <v>282</v>
      </c>
      <c r="B283" s="7" t="s">
        <v>1247</v>
      </c>
      <c r="C283" s="7" t="n">
        <v>1.6</v>
      </c>
      <c r="D283" s="8" t="n">
        <f aca="false">C283/SUM($C$2:$C$365)</f>
        <v>9.40791299562062E-006</v>
      </c>
      <c r="E283" s="8" t="n">
        <f aca="false">E282+D283</f>
        <v>0.999687774887458</v>
      </c>
      <c r="F283" s="7" t="str">
        <f aca="false">IF(E283&lt;=0.7,"A",IF(E283&lt;=0.9,"B","C"))</f>
        <v>C</v>
      </c>
      <c r="G283" s="7" t="n">
        <v>13</v>
      </c>
      <c r="H283" s="7" t="n">
        <v>50</v>
      </c>
    </row>
    <row r="284" customFormat="false" ht="15" hidden="false" customHeight="false" outlineLevel="0" collapsed="false">
      <c r="A284" s="7" t="n">
        <v>283</v>
      </c>
      <c r="B284" s="7" t="s">
        <v>1248</v>
      </c>
      <c r="C284" s="7" t="n">
        <v>1.6</v>
      </c>
      <c r="D284" s="8" t="n">
        <f aca="false">C284/SUM($C$2:$C$365)</f>
        <v>9.40791299562062E-006</v>
      </c>
      <c r="E284" s="8" t="n">
        <f aca="false">E283+D284</f>
        <v>0.999697182800454</v>
      </c>
      <c r="F284" s="7" t="str">
        <f aca="false">IF(E284&lt;=0.7,"A",IF(E284&lt;=0.9,"B","C"))</f>
        <v>C</v>
      </c>
      <c r="G284" s="7" t="n">
        <v>179</v>
      </c>
      <c r="H284" s="7" t="n">
        <v>50</v>
      </c>
    </row>
    <row r="285" customFormat="false" ht="15" hidden="false" customHeight="false" outlineLevel="0" collapsed="false">
      <c r="A285" s="7" t="n">
        <v>284</v>
      </c>
      <c r="B285" s="7" t="s">
        <v>1249</v>
      </c>
      <c r="C285" s="7" t="n">
        <v>1.6</v>
      </c>
      <c r="D285" s="8" t="n">
        <f aca="false">C285/SUM($C$2:$C$365)</f>
        <v>9.40791299562062E-006</v>
      </c>
      <c r="E285" s="8" t="n">
        <f aca="false">E284+D285</f>
        <v>0.999706590713449</v>
      </c>
      <c r="F285" s="7" t="str">
        <f aca="false">IF(E285&lt;=0.7,"A",IF(E285&lt;=0.9,"B","C"))</f>
        <v>C</v>
      </c>
      <c r="G285" s="7" t="n">
        <v>6</v>
      </c>
      <c r="H285" s="7" t="n">
        <v>50</v>
      </c>
    </row>
    <row r="286" customFormat="false" ht="15" hidden="false" customHeight="false" outlineLevel="0" collapsed="false">
      <c r="A286" s="7" t="n">
        <v>285</v>
      </c>
      <c r="B286" s="7" t="s">
        <v>1250</v>
      </c>
      <c r="C286" s="7" t="n">
        <v>1.4</v>
      </c>
      <c r="D286" s="8" t="n">
        <f aca="false">C286/SUM($C$2:$C$365)</f>
        <v>8.23192387116804E-006</v>
      </c>
      <c r="E286" s="8" t="n">
        <f aca="false">E285+D286</f>
        <v>0.99971482263732</v>
      </c>
      <c r="F286" s="7" t="str">
        <f aca="false">IF(E286&lt;=0.7,"A",IF(E286&lt;=0.9,"B","C"))</f>
        <v>C</v>
      </c>
      <c r="G286" s="7" t="n">
        <v>10000</v>
      </c>
      <c r="H286" s="7" t="n">
        <v>0</v>
      </c>
    </row>
    <row r="287" customFormat="false" ht="15" hidden="false" customHeight="false" outlineLevel="0" collapsed="false">
      <c r="A287" s="7" t="n">
        <v>286</v>
      </c>
      <c r="B287" s="7" t="s">
        <v>1251</v>
      </c>
      <c r="C287" s="7" t="n">
        <v>1.4</v>
      </c>
      <c r="D287" s="8" t="n">
        <f aca="false">C287/SUM($C$2:$C$365)</f>
        <v>8.23192387116804E-006</v>
      </c>
      <c r="E287" s="8" t="n">
        <f aca="false">E286+D287</f>
        <v>0.999723054561192</v>
      </c>
      <c r="F287" s="7" t="str">
        <f aca="false">IF(E287&lt;=0.7,"A",IF(E287&lt;=0.9,"B","C"))</f>
        <v>C</v>
      </c>
      <c r="G287" s="7" t="n">
        <v>8</v>
      </c>
      <c r="H287" s="7" t="n">
        <v>50</v>
      </c>
    </row>
    <row r="288" customFormat="false" ht="15" hidden="false" customHeight="false" outlineLevel="0" collapsed="false">
      <c r="A288" s="7" t="n">
        <v>287</v>
      </c>
      <c r="B288" s="7" t="s">
        <v>1252</v>
      </c>
      <c r="C288" s="7" t="n">
        <v>1.4</v>
      </c>
      <c r="D288" s="8" t="n">
        <f aca="false">C288/SUM($C$2:$C$365)</f>
        <v>8.23192387116804E-006</v>
      </c>
      <c r="E288" s="8" t="n">
        <f aca="false">E287+D288</f>
        <v>0.999731286485063</v>
      </c>
      <c r="F288" s="7" t="str">
        <f aca="false">IF(E288&lt;=0.7,"A",IF(E288&lt;=0.9,"B","C"))</f>
        <v>C</v>
      </c>
      <c r="G288" s="7" t="n">
        <v>24</v>
      </c>
      <c r="H288" s="7" t="n">
        <v>50</v>
      </c>
    </row>
    <row r="289" customFormat="false" ht="15" hidden="false" customHeight="false" outlineLevel="0" collapsed="false">
      <c r="A289" s="7" t="n">
        <v>288</v>
      </c>
      <c r="B289" s="7" t="s">
        <v>1253</v>
      </c>
      <c r="C289" s="7" t="n">
        <v>1.4</v>
      </c>
      <c r="D289" s="8" t="n">
        <f aca="false">C289/SUM($C$2:$C$365)</f>
        <v>8.23192387116804E-006</v>
      </c>
      <c r="E289" s="8" t="n">
        <f aca="false">E288+D289</f>
        <v>0.999739518408934</v>
      </c>
      <c r="F289" s="7" t="str">
        <f aca="false">IF(E289&lt;=0.7,"A",IF(E289&lt;=0.9,"B","C"))</f>
        <v>C</v>
      </c>
      <c r="G289" s="7" t="n">
        <v>1</v>
      </c>
      <c r="H289" s="7" t="n">
        <v>50</v>
      </c>
    </row>
    <row r="290" customFormat="false" ht="15" hidden="false" customHeight="false" outlineLevel="0" collapsed="false">
      <c r="A290" s="7" t="n">
        <v>289</v>
      </c>
      <c r="B290" s="7" t="s">
        <v>1254</v>
      </c>
      <c r="C290" s="7" t="n">
        <v>1.4</v>
      </c>
      <c r="D290" s="8" t="n">
        <f aca="false">C290/SUM($C$2:$C$365)</f>
        <v>8.23192387116804E-006</v>
      </c>
      <c r="E290" s="8" t="n">
        <f aca="false">E289+D290</f>
        <v>0.999747750332805</v>
      </c>
      <c r="F290" s="7" t="str">
        <f aca="false">IF(E290&lt;=0.7,"A",IF(E290&lt;=0.9,"B","C"))</f>
        <v>C</v>
      </c>
      <c r="G290" s="7" t="n">
        <v>115</v>
      </c>
      <c r="H290" s="7" t="n">
        <v>50</v>
      </c>
    </row>
    <row r="291" customFormat="false" ht="15" hidden="false" customHeight="false" outlineLevel="0" collapsed="false">
      <c r="A291" s="7" t="n">
        <v>290</v>
      </c>
      <c r="B291" s="7" t="s">
        <v>1255</v>
      </c>
      <c r="C291" s="7" t="n">
        <v>1.4</v>
      </c>
      <c r="D291" s="8" t="n">
        <f aca="false">C291/SUM($C$2:$C$365)</f>
        <v>8.23192387116804E-006</v>
      </c>
      <c r="E291" s="8" t="n">
        <f aca="false">E290+D291</f>
        <v>0.999755982256676</v>
      </c>
      <c r="F291" s="7" t="str">
        <f aca="false">IF(E291&lt;=0.7,"A",IF(E291&lt;=0.9,"B","C"))</f>
        <v>C</v>
      </c>
      <c r="G291" s="7" t="n">
        <v>82</v>
      </c>
      <c r="H291" s="7" t="n">
        <v>50</v>
      </c>
    </row>
    <row r="292" customFormat="false" ht="15" hidden="false" customHeight="false" outlineLevel="0" collapsed="false">
      <c r="A292" s="7" t="n">
        <v>291</v>
      </c>
      <c r="B292" s="7" t="s">
        <v>1256</v>
      </c>
      <c r="C292" s="7" t="n">
        <v>1.4</v>
      </c>
      <c r="D292" s="8" t="n">
        <f aca="false">C292/SUM($C$2:$C$365)</f>
        <v>8.23192387116804E-006</v>
      </c>
      <c r="E292" s="8" t="n">
        <f aca="false">E291+D292</f>
        <v>0.999764214180547</v>
      </c>
      <c r="F292" s="7" t="str">
        <f aca="false">IF(E292&lt;=0.7,"A",IF(E292&lt;=0.9,"B","C"))</f>
        <v>C</v>
      </c>
      <c r="G292" s="7" t="n">
        <v>344</v>
      </c>
      <c r="H292" s="7" t="n">
        <v>50</v>
      </c>
    </row>
    <row r="293" customFormat="false" ht="15" hidden="false" customHeight="false" outlineLevel="0" collapsed="false">
      <c r="A293" s="7" t="n">
        <v>292</v>
      </c>
      <c r="B293" s="7" t="s">
        <v>1257</v>
      </c>
      <c r="C293" s="7" t="n">
        <v>1.4</v>
      </c>
      <c r="D293" s="8" t="n">
        <f aca="false">C293/SUM($C$2:$C$365)</f>
        <v>8.23192387116804E-006</v>
      </c>
      <c r="E293" s="8" t="n">
        <f aca="false">E292+D293</f>
        <v>0.999772446104418</v>
      </c>
      <c r="F293" s="7" t="str">
        <f aca="false">IF(E293&lt;=0.7,"A",IF(E293&lt;=0.9,"B","C"))</f>
        <v>C</v>
      </c>
      <c r="G293" s="7" t="n">
        <v>53</v>
      </c>
      <c r="H293" s="7" t="n">
        <v>50</v>
      </c>
    </row>
    <row r="294" customFormat="false" ht="15" hidden="false" customHeight="false" outlineLevel="0" collapsed="false">
      <c r="A294" s="7" t="n">
        <v>293</v>
      </c>
      <c r="B294" s="7" t="s">
        <v>1258</v>
      </c>
      <c r="C294" s="7" t="n">
        <v>1.1</v>
      </c>
      <c r="D294" s="8" t="n">
        <f aca="false">C294/SUM($C$2:$C$365)</f>
        <v>6.46794018448917E-006</v>
      </c>
      <c r="E294" s="8" t="n">
        <f aca="false">E293+D294</f>
        <v>0.999778914044603</v>
      </c>
      <c r="F294" s="7" t="str">
        <f aca="false">IF(E294&lt;=0.7,"A",IF(E294&lt;=0.9,"B","C"))</f>
        <v>C</v>
      </c>
      <c r="G294" s="7" t="n">
        <v>25</v>
      </c>
      <c r="H294" s="7" t="n">
        <v>0</v>
      </c>
    </row>
    <row r="295" customFormat="false" ht="15" hidden="false" customHeight="false" outlineLevel="0" collapsed="false">
      <c r="A295" s="7" t="n">
        <v>294</v>
      </c>
      <c r="B295" s="7" t="s">
        <v>1259</v>
      </c>
      <c r="C295" s="7" t="n">
        <v>1.1</v>
      </c>
      <c r="D295" s="8" t="n">
        <f aca="false">C295/SUM($C$2:$C$365)</f>
        <v>6.46794018448917E-006</v>
      </c>
      <c r="E295" s="8" t="n">
        <f aca="false">E294+D295</f>
        <v>0.999785381984787</v>
      </c>
      <c r="F295" s="7" t="str">
        <f aca="false">IF(E295&lt;=0.7,"A",IF(E295&lt;=0.9,"B","C"))</f>
        <v>C</v>
      </c>
      <c r="G295" s="7" t="n">
        <v>15</v>
      </c>
      <c r="H295" s="7" t="n">
        <v>100</v>
      </c>
    </row>
    <row r="296" customFormat="false" ht="15" hidden="false" customHeight="false" outlineLevel="0" collapsed="false">
      <c r="A296" s="7" t="n">
        <v>295</v>
      </c>
      <c r="B296" s="7" t="s">
        <v>1260</v>
      </c>
      <c r="C296" s="7" t="n">
        <v>1.1</v>
      </c>
      <c r="D296" s="8" t="n">
        <f aca="false">C296/SUM($C$2:$C$365)</f>
        <v>6.46794018448917E-006</v>
      </c>
      <c r="E296" s="8" t="n">
        <f aca="false">E295+D296</f>
        <v>0.999791849924972</v>
      </c>
      <c r="F296" s="7" t="str">
        <f aca="false">IF(E296&lt;=0.7,"A",IF(E296&lt;=0.9,"B","C"))</f>
        <v>C</v>
      </c>
      <c r="G296" s="7" t="n">
        <v>33</v>
      </c>
      <c r="H296" s="7" t="n">
        <v>100</v>
      </c>
    </row>
    <row r="297" customFormat="false" ht="15" hidden="false" customHeight="false" outlineLevel="0" collapsed="false">
      <c r="A297" s="7" t="n">
        <v>296</v>
      </c>
      <c r="B297" s="7" t="s">
        <v>1261</v>
      </c>
      <c r="C297" s="7" t="n">
        <v>1.1</v>
      </c>
      <c r="D297" s="8" t="n">
        <f aca="false">C297/SUM($C$2:$C$365)</f>
        <v>6.46794018448917E-006</v>
      </c>
      <c r="E297" s="8" t="n">
        <f aca="false">E296+D297</f>
        <v>0.999798317865156</v>
      </c>
      <c r="F297" s="7" t="str">
        <f aca="false">IF(E297&lt;=0.7,"A",IF(E297&lt;=0.9,"B","C"))</f>
        <v>C</v>
      </c>
      <c r="G297" s="7" t="n">
        <v>74</v>
      </c>
      <c r="H297" s="7" t="n">
        <v>50</v>
      </c>
    </row>
    <row r="298" customFormat="false" ht="15" hidden="false" customHeight="false" outlineLevel="0" collapsed="false">
      <c r="A298" s="7" t="n">
        <v>297</v>
      </c>
      <c r="B298" s="7" t="s">
        <v>1262</v>
      </c>
      <c r="C298" s="7" t="n">
        <v>1.1</v>
      </c>
      <c r="D298" s="8" t="n">
        <f aca="false">C298/SUM($C$2:$C$365)</f>
        <v>6.46794018448917E-006</v>
      </c>
      <c r="E298" s="8" t="n">
        <f aca="false">E297+D298</f>
        <v>0.99980478580534</v>
      </c>
      <c r="F298" s="7" t="str">
        <f aca="false">IF(E298&lt;=0.7,"A",IF(E298&lt;=0.9,"B","C"))</f>
        <v>C</v>
      </c>
      <c r="G298" s="7" t="n">
        <v>110</v>
      </c>
      <c r="H298" s="7" t="n">
        <v>50</v>
      </c>
    </row>
    <row r="299" customFormat="false" ht="15" hidden="false" customHeight="false" outlineLevel="0" collapsed="false">
      <c r="A299" s="7" t="n">
        <v>298</v>
      </c>
      <c r="B299" s="7" t="s">
        <v>1263</v>
      </c>
      <c r="C299" s="7" t="n">
        <v>1.1</v>
      </c>
      <c r="D299" s="8" t="n">
        <f aca="false">C299/SUM($C$2:$C$365)</f>
        <v>6.46794018448917E-006</v>
      </c>
      <c r="E299" s="8" t="n">
        <f aca="false">E298+D299</f>
        <v>0.999811253745525</v>
      </c>
      <c r="F299" s="7" t="str">
        <f aca="false">IF(E299&lt;=0.7,"A",IF(E299&lt;=0.9,"B","C"))</f>
        <v>C</v>
      </c>
      <c r="G299" s="7" t="n">
        <v>8</v>
      </c>
      <c r="H299" s="7" t="n">
        <v>0</v>
      </c>
    </row>
    <row r="300" customFormat="false" ht="15" hidden="false" customHeight="false" outlineLevel="0" collapsed="false">
      <c r="A300" s="7" t="n">
        <v>299</v>
      </c>
      <c r="B300" s="7" t="s">
        <v>1264</v>
      </c>
      <c r="C300" s="7" t="n">
        <v>1.1</v>
      </c>
      <c r="D300" s="8" t="n">
        <f aca="false">C300/SUM($C$2:$C$365)</f>
        <v>6.46794018448917E-006</v>
      </c>
      <c r="E300" s="8" t="n">
        <f aca="false">E299+D300</f>
        <v>0.999817721685709</v>
      </c>
      <c r="F300" s="7" t="str">
        <f aca="false">IF(E300&lt;=0.7,"A",IF(E300&lt;=0.9,"B","C"))</f>
        <v>C</v>
      </c>
      <c r="G300" s="7" t="n">
        <v>64</v>
      </c>
      <c r="H300" s="7" t="n">
        <v>50</v>
      </c>
    </row>
    <row r="301" customFormat="false" ht="15" hidden="false" customHeight="false" outlineLevel="0" collapsed="false">
      <c r="A301" s="7" t="n">
        <v>300</v>
      </c>
      <c r="B301" s="7" t="s">
        <v>1265</v>
      </c>
      <c r="C301" s="7" t="n">
        <v>1.1</v>
      </c>
      <c r="D301" s="8" t="n">
        <f aca="false">C301/SUM($C$2:$C$365)</f>
        <v>6.46794018448917E-006</v>
      </c>
      <c r="E301" s="8" t="n">
        <f aca="false">E300+D301</f>
        <v>0.999824189625894</v>
      </c>
      <c r="F301" s="7" t="str">
        <f aca="false">IF(E301&lt;=0.7,"A",IF(E301&lt;=0.9,"B","C"))</f>
        <v>C</v>
      </c>
      <c r="G301" s="7" t="n">
        <v>664</v>
      </c>
      <c r="H301" s="7" t="n">
        <v>50</v>
      </c>
    </row>
    <row r="302" customFormat="false" ht="15" hidden="false" customHeight="false" outlineLevel="0" collapsed="false">
      <c r="A302" s="7" t="n">
        <v>301</v>
      </c>
      <c r="B302" s="7" t="s">
        <v>1266</v>
      </c>
      <c r="C302" s="7" t="n">
        <v>1.1</v>
      </c>
      <c r="D302" s="8" t="n">
        <f aca="false">C302/SUM($C$2:$C$365)</f>
        <v>6.46794018448917E-006</v>
      </c>
      <c r="E302" s="8" t="n">
        <f aca="false">E301+D302</f>
        <v>0.999830657566078</v>
      </c>
      <c r="F302" s="7" t="str">
        <f aca="false">IF(E302&lt;=0.7,"A",IF(E302&lt;=0.9,"B","C"))</f>
        <v>C</v>
      </c>
      <c r="G302" s="7" t="n">
        <v>96</v>
      </c>
      <c r="H302" s="7" t="n">
        <v>0</v>
      </c>
    </row>
    <row r="303" customFormat="false" ht="15" hidden="false" customHeight="false" outlineLevel="0" collapsed="false">
      <c r="A303" s="7" t="n">
        <v>302</v>
      </c>
      <c r="B303" s="7" t="s">
        <v>1267</v>
      </c>
      <c r="C303" s="7" t="n">
        <v>1.1</v>
      </c>
      <c r="D303" s="8" t="n">
        <f aca="false">C303/SUM($C$2:$C$365)</f>
        <v>6.46794018448917E-006</v>
      </c>
      <c r="E303" s="8" t="n">
        <f aca="false">E302+D303</f>
        <v>0.999837125506263</v>
      </c>
      <c r="F303" s="7" t="str">
        <f aca="false">IF(E303&lt;=0.7,"A",IF(E303&lt;=0.9,"B","C"))</f>
        <v>C</v>
      </c>
      <c r="G303" s="7" t="n">
        <v>136</v>
      </c>
      <c r="H303" s="7" t="n">
        <v>0</v>
      </c>
    </row>
    <row r="304" customFormat="false" ht="15" hidden="false" customHeight="false" outlineLevel="0" collapsed="false">
      <c r="A304" s="7" t="n">
        <v>303</v>
      </c>
      <c r="B304" s="7" t="s">
        <v>1268</v>
      </c>
      <c r="C304" s="7" t="n">
        <v>0.8</v>
      </c>
      <c r="D304" s="8" t="n">
        <f aca="false">C304/SUM($C$2:$C$365)</f>
        <v>4.70395649781031E-006</v>
      </c>
      <c r="E304" s="8" t="n">
        <f aca="false">E303+D304</f>
        <v>0.99984182946276</v>
      </c>
      <c r="F304" s="7" t="str">
        <f aca="false">IF(E304&lt;=0.7,"A",IF(E304&lt;=0.9,"B","C"))</f>
        <v>C</v>
      </c>
      <c r="G304" s="7" t="n">
        <v>22</v>
      </c>
      <c r="H304" s="7" t="n">
        <v>0</v>
      </c>
    </row>
    <row r="305" customFormat="false" ht="15" hidden="false" customHeight="false" outlineLevel="0" collapsed="false">
      <c r="A305" s="7" t="n">
        <v>304</v>
      </c>
      <c r="B305" s="7" t="s">
        <v>1269</v>
      </c>
      <c r="C305" s="7" t="n">
        <v>0.8</v>
      </c>
      <c r="D305" s="8" t="n">
        <f aca="false">C305/SUM($C$2:$C$365)</f>
        <v>4.70395649781031E-006</v>
      </c>
      <c r="E305" s="8" t="n">
        <f aca="false">E304+D305</f>
        <v>0.999846533419258</v>
      </c>
      <c r="F305" s="7" t="str">
        <f aca="false">IF(E305&lt;=0.7,"A",IF(E305&lt;=0.9,"B","C"))</f>
        <v>C</v>
      </c>
      <c r="G305" s="7" t="n">
        <v>25</v>
      </c>
      <c r="H305" s="7" t="n">
        <v>50</v>
      </c>
    </row>
    <row r="306" customFormat="false" ht="15" hidden="false" customHeight="false" outlineLevel="0" collapsed="false">
      <c r="A306" s="7" t="n">
        <v>305</v>
      </c>
      <c r="B306" s="7" t="s">
        <v>1270</v>
      </c>
      <c r="C306" s="7" t="n">
        <v>0.8</v>
      </c>
      <c r="D306" s="8" t="n">
        <f aca="false">C306/SUM($C$2:$C$365)</f>
        <v>4.70395649781031E-006</v>
      </c>
      <c r="E306" s="8" t="n">
        <f aca="false">E305+D306</f>
        <v>0.999851237375756</v>
      </c>
      <c r="F306" s="7" t="str">
        <f aca="false">IF(E306&lt;=0.7,"A",IF(E306&lt;=0.9,"B","C"))</f>
        <v>C</v>
      </c>
      <c r="G306" s="7" t="n">
        <v>58</v>
      </c>
      <c r="H306" s="7" t="n">
        <v>50</v>
      </c>
    </row>
    <row r="307" customFormat="false" ht="15" hidden="false" customHeight="false" outlineLevel="0" collapsed="false">
      <c r="A307" s="7" t="n">
        <v>306</v>
      </c>
      <c r="B307" s="7" t="s">
        <v>1271</v>
      </c>
      <c r="C307" s="7" t="n">
        <v>0.8</v>
      </c>
      <c r="D307" s="8" t="n">
        <f aca="false">C307/SUM($C$2:$C$365)</f>
        <v>4.70395649781031E-006</v>
      </c>
      <c r="E307" s="8" t="n">
        <f aca="false">E306+D307</f>
        <v>0.999855941332254</v>
      </c>
      <c r="F307" s="7" t="str">
        <f aca="false">IF(E307&lt;=0.7,"A",IF(E307&lt;=0.9,"B","C"))</f>
        <v>C</v>
      </c>
      <c r="G307" s="7" t="n">
        <v>176</v>
      </c>
      <c r="H307" s="7" t="n">
        <v>50</v>
      </c>
    </row>
    <row r="308" customFormat="false" ht="15" hidden="false" customHeight="false" outlineLevel="0" collapsed="false">
      <c r="A308" s="7" t="n">
        <v>307</v>
      </c>
      <c r="B308" s="7" t="s">
        <v>1272</v>
      </c>
      <c r="C308" s="7" t="n">
        <v>0.8</v>
      </c>
      <c r="D308" s="8" t="n">
        <f aca="false">C308/SUM($C$2:$C$365)</f>
        <v>4.70395649781031E-006</v>
      </c>
      <c r="E308" s="8" t="n">
        <f aca="false">E307+D308</f>
        <v>0.999860645288751</v>
      </c>
      <c r="F308" s="7" t="str">
        <f aca="false">IF(E308&lt;=0.7,"A",IF(E308&lt;=0.9,"B","C"))</f>
        <v>C</v>
      </c>
      <c r="G308" s="7" t="n">
        <v>13</v>
      </c>
      <c r="H308" s="7" t="n">
        <v>50</v>
      </c>
    </row>
    <row r="309" customFormat="false" ht="15" hidden="false" customHeight="false" outlineLevel="0" collapsed="false">
      <c r="A309" s="7" t="n">
        <v>308</v>
      </c>
      <c r="B309" s="7" t="s">
        <v>1273</v>
      </c>
      <c r="C309" s="7" t="n">
        <v>0.8</v>
      </c>
      <c r="D309" s="8" t="n">
        <f aca="false">C309/SUM($C$2:$C$365)</f>
        <v>4.70395649781031E-006</v>
      </c>
      <c r="E309" s="8" t="n">
        <f aca="false">E308+D309</f>
        <v>0.999865349245249</v>
      </c>
      <c r="F309" s="7" t="str">
        <f aca="false">IF(E309&lt;=0.7,"A",IF(E309&lt;=0.9,"B","C"))</f>
        <v>C</v>
      </c>
      <c r="G309" s="7" t="n">
        <v>10</v>
      </c>
      <c r="H309" s="7" t="n">
        <v>0</v>
      </c>
    </row>
    <row r="310" customFormat="false" ht="15" hidden="false" customHeight="false" outlineLevel="0" collapsed="false">
      <c r="A310" s="7" t="n">
        <v>309</v>
      </c>
      <c r="B310" s="7" t="s">
        <v>1274</v>
      </c>
      <c r="C310" s="7" t="n">
        <v>0.8</v>
      </c>
      <c r="D310" s="8" t="n">
        <f aca="false">C310/SUM($C$2:$C$365)</f>
        <v>4.70395649781031E-006</v>
      </c>
      <c r="E310" s="8" t="n">
        <f aca="false">E309+D310</f>
        <v>0.999870053201747</v>
      </c>
      <c r="F310" s="7" t="str">
        <f aca="false">IF(E310&lt;=0.7,"A",IF(E310&lt;=0.9,"B","C"))</f>
        <v>C</v>
      </c>
      <c r="G310" s="7" t="n">
        <v>5</v>
      </c>
      <c r="H310" s="7" t="n">
        <v>50</v>
      </c>
    </row>
    <row r="311" customFormat="false" ht="15" hidden="false" customHeight="false" outlineLevel="0" collapsed="false">
      <c r="A311" s="7" t="n">
        <v>310</v>
      </c>
      <c r="B311" s="7" t="s">
        <v>1275</v>
      </c>
      <c r="C311" s="7" t="n">
        <v>0.8</v>
      </c>
      <c r="D311" s="8" t="n">
        <f aca="false">C311/SUM($C$2:$C$365)</f>
        <v>4.70395649781031E-006</v>
      </c>
      <c r="E311" s="8" t="n">
        <f aca="false">E310+D311</f>
        <v>0.999874757158245</v>
      </c>
      <c r="F311" s="7" t="str">
        <f aca="false">IF(E311&lt;=0.7,"A",IF(E311&lt;=0.9,"B","C"))</f>
        <v>C</v>
      </c>
      <c r="G311" s="7" t="n">
        <v>196</v>
      </c>
      <c r="H311" s="7" t="n">
        <v>0</v>
      </c>
    </row>
    <row r="312" customFormat="false" ht="15" hidden="false" customHeight="false" outlineLevel="0" collapsed="false">
      <c r="A312" s="7" t="n">
        <v>311</v>
      </c>
      <c r="B312" s="7" t="s">
        <v>1276</v>
      </c>
      <c r="C312" s="7" t="n">
        <v>0.8</v>
      </c>
      <c r="D312" s="8" t="n">
        <f aca="false">C312/SUM($C$2:$C$365)</f>
        <v>4.70395649781031E-006</v>
      </c>
      <c r="E312" s="8" t="n">
        <f aca="false">E311+D312</f>
        <v>0.999879461114743</v>
      </c>
      <c r="F312" s="7" t="str">
        <f aca="false">IF(E312&lt;=0.7,"A",IF(E312&lt;=0.9,"B","C"))</f>
        <v>C</v>
      </c>
      <c r="G312" s="7" t="n">
        <v>10</v>
      </c>
      <c r="H312" s="7" t="n">
        <v>0</v>
      </c>
    </row>
    <row r="313" customFormat="false" ht="15" hidden="false" customHeight="false" outlineLevel="0" collapsed="false">
      <c r="A313" s="7" t="n">
        <v>312</v>
      </c>
      <c r="B313" s="7" t="s">
        <v>1277</v>
      </c>
      <c r="C313" s="7" t="n">
        <v>0.5</v>
      </c>
      <c r="D313" s="8" t="n">
        <f aca="false">C313/SUM($C$2:$C$365)</f>
        <v>2.93997281113144E-006</v>
      </c>
      <c r="E313" s="8" t="n">
        <f aca="false">E312+D313</f>
        <v>0.999882401087554</v>
      </c>
      <c r="F313" s="7" t="str">
        <f aca="false">IF(E313&lt;=0.7,"A",IF(E313&lt;=0.9,"B","C"))</f>
        <v>C</v>
      </c>
      <c r="G313" s="7" t="n">
        <v>4</v>
      </c>
      <c r="H313" s="7" t="n">
        <v>0</v>
      </c>
    </row>
    <row r="314" customFormat="false" ht="15" hidden="false" customHeight="false" outlineLevel="0" collapsed="false">
      <c r="A314" s="7" t="n">
        <v>313</v>
      </c>
      <c r="B314" s="7" t="s">
        <v>1278</v>
      </c>
      <c r="C314" s="7" t="n">
        <v>0.5</v>
      </c>
      <c r="D314" s="8" t="n">
        <f aca="false">C314/SUM($C$2:$C$365)</f>
        <v>2.93997281113144E-006</v>
      </c>
      <c r="E314" s="8" t="n">
        <f aca="false">E313+D314</f>
        <v>0.999885341060365</v>
      </c>
      <c r="F314" s="7" t="str">
        <f aca="false">IF(E314&lt;=0.7,"A",IF(E314&lt;=0.9,"B","C"))</f>
        <v>C</v>
      </c>
      <c r="G314" s="7" t="n">
        <v>10</v>
      </c>
      <c r="H314" s="7" t="n">
        <v>50</v>
      </c>
    </row>
    <row r="315" customFormat="false" ht="15" hidden="false" customHeight="false" outlineLevel="0" collapsed="false">
      <c r="A315" s="7" t="n">
        <v>314</v>
      </c>
      <c r="B315" s="7" t="s">
        <v>1279</v>
      </c>
      <c r="C315" s="7" t="n">
        <v>0.5</v>
      </c>
      <c r="D315" s="8" t="n">
        <f aca="false">C315/SUM($C$2:$C$365)</f>
        <v>2.93997281113144E-006</v>
      </c>
      <c r="E315" s="8" t="n">
        <f aca="false">E314+D315</f>
        <v>0.999888281033176</v>
      </c>
      <c r="F315" s="7" t="str">
        <f aca="false">IF(E315&lt;=0.7,"A",IF(E315&lt;=0.9,"B","C"))</f>
        <v>C</v>
      </c>
      <c r="G315" s="7" t="n">
        <v>70</v>
      </c>
      <c r="H315" s="7" t="n">
        <v>100</v>
      </c>
    </row>
    <row r="316" customFormat="false" ht="15" hidden="false" customHeight="false" outlineLevel="0" collapsed="false">
      <c r="A316" s="7" t="n">
        <v>315</v>
      </c>
      <c r="B316" s="7" t="s">
        <v>1280</v>
      </c>
      <c r="C316" s="7" t="n">
        <v>0.5</v>
      </c>
      <c r="D316" s="8" t="n">
        <f aca="false">C316/SUM($C$2:$C$365)</f>
        <v>2.93997281113144E-006</v>
      </c>
      <c r="E316" s="8" t="n">
        <f aca="false">E315+D316</f>
        <v>0.999891221005987</v>
      </c>
      <c r="F316" s="7" t="str">
        <f aca="false">IF(E316&lt;=0.7,"A",IF(E316&lt;=0.9,"B","C"))</f>
        <v>C</v>
      </c>
      <c r="G316" s="7" t="n">
        <v>1</v>
      </c>
      <c r="H316" s="7" t="n">
        <v>50</v>
      </c>
    </row>
    <row r="317" customFormat="false" ht="15" hidden="false" customHeight="false" outlineLevel="0" collapsed="false">
      <c r="A317" s="7" t="n">
        <v>316</v>
      </c>
      <c r="B317" s="7" t="s">
        <v>1281</v>
      </c>
      <c r="C317" s="7" t="n">
        <v>0.5</v>
      </c>
      <c r="D317" s="8" t="n">
        <f aca="false">C317/SUM($C$2:$C$365)</f>
        <v>2.93997281113144E-006</v>
      </c>
      <c r="E317" s="8" t="n">
        <f aca="false">E316+D317</f>
        <v>0.999894160978798</v>
      </c>
      <c r="F317" s="7" t="str">
        <f aca="false">IF(E317&lt;=0.7,"A",IF(E317&lt;=0.9,"B","C"))</f>
        <v>C</v>
      </c>
      <c r="G317" s="7" t="n">
        <v>24</v>
      </c>
      <c r="H317" s="7" t="n">
        <v>0</v>
      </c>
    </row>
    <row r="318" customFormat="false" ht="15" hidden="false" customHeight="false" outlineLevel="0" collapsed="false">
      <c r="A318" s="7" t="n">
        <v>317</v>
      </c>
      <c r="B318" s="7" t="s">
        <v>1282</v>
      </c>
      <c r="C318" s="7" t="n">
        <v>0.5</v>
      </c>
      <c r="D318" s="8" t="n">
        <f aca="false">C318/SUM($C$2:$C$365)</f>
        <v>2.93997281113144E-006</v>
      </c>
      <c r="E318" s="8" t="n">
        <f aca="false">E317+D318</f>
        <v>0.999897100951609</v>
      </c>
      <c r="F318" s="7" t="str">
        <f aca="false">IF(E318&lt;=0.7,"A",IF(E318&lt;=0.9,"B","C"))</f>
        <v>C</v>
      </c>
      <c r="G318" s="7" t="n">
        <v>39</v>
      </c>
      <c r="H318" s="7" t="n">
        <v>50</v>
      </c>
    </row>
    <row r="319" customFormat="false" ht="15" hidden="false" customHeight="false" outlineLevel="0" collapsed="false">
      <c r="A319" s="7" t="n">
        <v>318</v>
      </c>
      <c r="B319" s="7" t="s">
        <v>1283</v>
      </c>
      <c r="C319" s="7" t="n">
        <v>0.5</v>
      </c>
      <c r="D319" s="8" t="n">
        <f aca="false">C319/SUM($C$2:$C$365)</f>
        <v>2.93997281113144E-006</v>
      </c>
      <c r="E319" s="8" t="n">
        <f aca="false">E318+D319</f>
        <v>0.99990004092442</v>
      </c>
      <c r="F319" s="7" t="str">
        <f aca="false">IF(E319&lt;=0.7,"A",IF(E319&lt;=0.9,"B","C"))</f>
        <v>C</v>
      </c>
      <c r="G319" s="7" t="n">
        <v>4</v>
      </c>
      <c r="H319" s="7" t="n">
        <v>50</v>
      </c>
    </row>
    <row r="320" customFormat="false" ht="15" hidden="false" customHeight="false" outlineLevel="0" collapsed="false">
      <c r="A320" s="7" t="n">
        <v>319</v>
      </c>
      <c r="B320" s="7" t="s">
        <v>1284</v>
      </c>
      <c r="C320" s="7" t="n">
        <v>0.5</v>
      </c>
      <c r="D320" s="8" t="n">
        <f aca="false">C320/SUM($C$2:$C$365)</f>
        <v>2.93997281113144E-006</v>
      </c>
      <c r="E320" s="8" t="n">
        <f aca="false">E319+D320</f>
        <v>0.999902980897231</v>
      </c>
      <c r="F320" s="7" t="str">
        <f aca="false">IF(E320&lt;=0.7,"A",IF(E320&lt;=0.9,"B","C"))</f>
        <v>C</v>
      </c>
      <c r="G320" s="7" t="n">
        <v>7</v>
      </c>
      <c r="H320" s="7" t="n">
        <v>50</v>
      </c>
    </row>
    <row r="321" customFormat="false" ht="15" hidden="false" customHeight="false" outlineLevel="0" collapsed="false">
      <c r="A321" s="7" t="n">
        <v>320</v>
      </c>
      <c r="B321" s="7" t="s">
        <v>1285</v>
      </c>
      <c r="C321" s="7" t="n">
        <v>0.5</v>
      </c>
      <c r="D321" s="8" t="n">
        <f aca="false">C321/SUM($C$2:$C$365)</f>
        <v>2.93997281113144E-006</v>
      </c>
      <c r="E321" s="8" t="n">
        <f aca="false">E320+D321</f>
        <v>0.999905920870042</v>
      </c>
      <c r="F321" s="7" t="str">
        <f aca="false">IF(E321&lt;=0.7,"A",IF(E321&lt;=0.9,"B","C"))</f>
        <v>C</v>
      </c>
      <c r="G321" s="7" t="n">
        <v>9</v>
      </c>
      <c r="H321" s="7" t="n">
        <v>50</v>
      </c>
    </row>
    <row r="322" customFormat="false" ht="15" hidden="false" customHeight="false" outlineLevel="0" collapsed="false">
      <c r="A322" s="7" t="n">
        <v>321</v>
      </c>
      <c r="B322" s="7" t="s">
        <v>1286</v>
      </c>
      <c r="C322" s="7" t="n">
        <v>0.5</v>
      </c>
      <c r="D322" s="8" t="n">
        <f aca="false">C322/SUM($C$2:$C$365)</f>
        <v>2.93997281113144E-006</v>
      </c>
      <c r="E322" s="8" t="n">
        <f aca="false">E321+D322</f>
        <v>0.999908860842853</v>
      </c>
      <c r="F322" s="7" t="str">
        <f aca="false">IF(E322&lt;=0.7,"A",IF(E322&lt;=0.9,"B","C"))</f>
        <v>C</v>
      </c>
      <c r="G322" s="7" t="n">
        <v>6</v>
      </c>
      <c r="H322" s="7" t="n">
        <v>50</v>
      </c>
    </row>
    <row r="323" customFormat="false" ht="15" hidden="false" customHeight="false" outlineLevel="0" collapsed="false">
      <c r="A323" s="7" t="n">
        <v>322</v>
      </c>
      <c r="B323" s="7" t="s">
        <v>1287</v>
      </c>
      <c r="C323" s="7" t="n">
        <v>0.5</v>
      </c>
      <c r="D323" s="8" t="n">
        <f aca="false">C323/SUM($C$2:$C$365)</f>
        <v>2.93997281113144E-006</v>
      </c>
      <c r="E323" s="8" t="n">
        <f aca="false">E322+D323</f>
        <v>0.999911800815664</v>
      </c>
      <c r="F323" s="7" t="str">
        <f aca="false">IF(E323&lt;=0.7,"A",IF(E323&lt;=0.9,"B","C"))</f>
        <v>C</v>
      </c>
      <c r="G323" s="7" t="n">
        <v>18</v>
      </c>
      <c r="H323" s="7" t="n">
        <v>0</v>
      </c>
    </row>
    <row r="324" customFormat="false" ht="15" hidden="false" customHeight="false" outlineLevel="0" collapsed="false">
      <c r="A324" s="7" t="n">
        <v>323</v>
      </c>
      <c r="B324" s="7" t="s">
        <v>1288</v>
      </c>
      <c r="C324" s="7" t="n">
        <v>0.5</v>
      </c>
      <c r="D324" s="8" t="n">
        <f aca="false">C324/SUM($C$2:$C$365)</f>
        <v>2.93997281113144E-006</v>
      </c>
      <c r="E324" s="8" t="n">
        <f aca="false">E323+D324</f>
        <v>0.999914740788476</v>
      </c>
      <c r="F324" s="7" t="str">
        <f aca="false">IF(E324&lt;=0.7,"A",IF(E324&lt;=0.9,"B","C"))</f>
        <v>C</v>
      </c>
      <c r="G324" s="7" t="n">
        <v>46</v>
      </c>
      <c r="H324" s="7" t="n">
        <v>50</v>
      </c>
    </row>
    <row r="325" customFormat="false" ht="15" hidden="false" customHeight="false" outlineLevel="0" collapsed="false">
      <c r="A325" s="7" t="n">
        <v>324</v>
      </c>
      <c r="B325" s="7" t="s">
        <v>1289</v>
      </c>
      <c r="C325" s="7" t="n">
        <v>0.5</v>
      </c>
      <c r="D325" s="8" t="n">
        <f aca="false">C325/SUM($C$2:$C$365)</f>
        <v>2.93997281113144E-006</v>
      </c>
      <c r="E325" s="8" t="n">
        <f aca="false">E324+D325</f>
        <v>0.999917680761287</v>
      </c>
      <c r="F325" s="7" t="str">
        <f aca="false">IF(E325&lt;=0.7,"A",IF(E325&lt;=0.9,"B","C"))</f>
        <v>C</v>
      </c>
      <c r="G325" s="7" t="n">
        <v>13</v>
      </c>
      <c r="H325" s="7" t="n">
        <v>50</v>
      </c>
    </row>
    <row r="326" customFormat="false" ht="15" hidden="false" customHeight="false" outlineLevel="0" collapsed="false">
      <c r="A326" s="7" t="n">
        <v>325</v>
      </c>
      <c r="B326" s="7" t="s">
        <v>1290</v>
      </c>
      <c r="C326" s="7" t="n">
        <v>0.5</v>
      </c>
      <c r="D326" s="8" t="n">
        <f aca="false">C326/SUM($C$2:$C$365)</f>
        <v>2.93997281113144E-006</v>
      </c>
      <c r="E326" s="8" t="n">
        <f aca="false">E325+D326</f>
        <v>0.999920620734098</v>
      </c>
      <c r="F326" s="7" t="str">
        <f aca="false">IF(E326&lt;=0.7,"A",IF(E326&lt;=0.9,"B","C"))</f>
        <v>C</v>
      </c>
      <c r="G326" s="7" t="n">
        <v>496</v>
      </c>
      <c r="H326" s="7" t="n">
        <v>150</v>
      </c>
    </row>
    <row r="327" customFormat="false" ht="15" hidden="false" customHeight="false" outlineLevel="0" collapsed="false">
      <c r="A327" s="7" t="n">
        <v>326</v>
      </c>
      <c r="B327" s="7" t="s">
        <v>1291</v>
      </c>
      <c r="C327" s="7" t="n">
        <v>0.5</v>
      </c>
      <c r="D327" s="8" t="n">
        <f aca="false">C327/SUM($C$2:$C$365)</f>
        <v>2.93997281113144E-006</v>
      </c>
      <c r="E327" s="8" t="n">
        <f aca="false">E326+D327</f>
        <v>0.999923560706909</v>
      </c>
      <c r="F327" s="7" t="str">
        <f aca="false">IF(E327&lt;=0.7,"A",IF(E327&lt;=0.9,"B","C"))</f>
        <v>C</v>
      </c>
      <c r="G327" s="7" t="n">
        <v>915</v>
      </c>
      <c r="H327" s="7" t="n">
        <v>50</v>
      </c>
    </row>
    <row r="328" customFormat="false" ht="15" hidden="false" customHeight="false" outlineLevel="0" collapsed="false">
      <c r="A328" s="7" t="n">
        <v>327</v>
      </c>
      <c r="B328" s="7" t="s">
        <v>1292</v>
      </c>
      <c r="C328" s="7" t="n">
        <v>0.5</v>
      </c>
      <c r="D328" s="8" t="n">
        <f aca="false">C328/SUM($C$2:$C$365)</f>
        <v>2.93997281113144E-006</v>
      </c>
      <c r="E328" s="8" t="n">
        <f aca="false">E327+D328</f>
        <v>0.99992650067972</v>
      </c>
      <c r="F328" s="7" t="str">
        <f aca="false">IF(E328&lt;=0.7,"A",IF(E328&lt;=0.9,"B","C"))</f>
        <v>C</v>
      </c>
      <c r="G328" s="7" t="n">
        <v>191</v>
      </c>
      <c r="H328" s="7" t="n">
        <v>50</v>
      </c>
    </row>
    <row r="329" customFormat="false" ht="15" hidden="false" customHeight="false" outlineLevel="0" collapsed="false">
      <c r="A329" s="7" t="n">
        <v>328</v>
      </c>
      <c r="B329" s="7" t="s">
        <v>1293</v>
      </c>
      <c r="C329" s="7" t="n">
        <v>0.5</v>
      </c>
      <c r="D329" s="8" t="n">
        <f aca="false">C329/SUM($C$2:$C$365)</f>
        <v>2.93997281113144E-006</v>
      </c>
      <c r="E329" s="8" t="n">
        <f aca="false">E328+D329</f>
        <v>0.999929440652531</v>
      </c>
      <c r="F329" s="7" t="str">
        <f aca="false">IF(E329&lt;=0.7,"A",IF(E329&lt;=0.9,"B","C"))</f>
        <v>C</v>
      </c>
      <c r="G329" s="7" t="n">
        <v>362</v>
      </c>
      <c r="H329" s="7" t="n">
        <v>50</v>
      </c>
    </row>
    <row r="330" customFormat="false" ht="15" hidden="false" customHeight="false" outlineLevel="0" collapsed="false">
      <c r="A330" s="7" t="n">
        <v>329</v>
      </c>
      <c r="B330" s="7" t="s">
        <v>1294</v>
      </c>
      <c r="C330" s="7" t="n">
        <v>0.5</v>
      </c>
      <c r="D330" s="8" t="n">
        <f aca="false">C330/SUM($C$2:$C$365)</f>
        <v>2.93997281113144E-006</v>
      </c>
      <c r="E330" s="8" t="n">
        <f aca="false">E329+D330</f>
        <v>0.999932380625342</v>
      </c>
      <c r="F330" s="7" t="str">
        <f aca="false">IF(E330&lt;=0.7,"A",IF(E330&lt;=0.9,"B","C"))</f>
        <v>C</v>
      </c>
      <c r="G330" s="7" t="n">
        <v>18</v>
      </c>
      <c r="H330" s="7" t="n">
        <v>0</v>
      </c>
    </row>
    <row r="331" customFormat="false" ht="15" hidden="false" customHeight="false" outlineLevel="0" collapsed="false">
      <c r="A331" s="7" t="n">
        <v>330</v>
      </c>
      <c r="B331" s="7" t="s">
        <v>1295</v>
      </c>
      <c r="C331" s="7" t="n">
        <v>0.5</v>
      </c>
      <c r="D331" s="8" t="n">
        <f aca="false">C331/SUM($C$2:$C$365)</f>
        <v>2.93997281113144E-006</v>
      </c>
      <c r="E331" s="8" t="n">
        <f aca="false">E330+D331</f>
        <v>0.999935320598153</v>
      </c>
      <c r="F331" s="7" t="str">
        <f aca="false">IF(E331&lt;=0.7,"A",IF(E331&lt;=0.9,"B","C"))</f>
        <v>C</v>
      </c>
      <c r="G331" s="7" t="n">
        <v>41</v>
      </c>
      <c r="H331" s="7" t="n">
        <v>0</v>
      </c>
    </row>
    <row r="332" customFormat="false" ht="15" hidden="false" customHeight="false" outlineLevel="0" collapsed="false">
      <c r="A332" s="7" t="n">
        <v>331</v>
      </c>
      <c r="B332" s="7" t="s">
        <v>1296</v>
      </c>
      <c r="C332" s="7" t="n">
        <v>0.5</v>
      </c>
      <c r="D332" s="8" t="n">
        <f aca="false">C332/SUM($C$2:$C$365)</f>
        <v>2.93997281113144E-006</v>
      </c>
      <c r="E332" s="8" t="n">
        <f aca="false">E331+D332</f>
        <v>0.999938260570964</v>
      </c>
      <c r="F332" s="7" t="str">
        <f aca="false">IF(E332&lt;=0.7,"A",IF(E332&lt;=0.9,"B","C"))</f>
        <v>C</v>
      </c>
      <c r="G332" s="7" t="n">
        <v>98</v>
      </c>
      <c r="H332" s="7" t="n">
        <v>0</v>
      </c>
    </row>
    <row r="333" customFormat="false" ht="15" hidden="false" customHeight="false" outlineLevel="0" collapsed="false">
      <c r="A333" s="7" t="n">
        <v>332</v>
      </c>
      <c r="B333" s="7" t="s">
        <v>1297</v>
      </c>
      <c r="C333" s="7" t="n">
        <v>0.5</v>
      </c>
      <c r="D333" s="8" t="n">
        <f aca="false">C333/SUM($C$2:$C$365)</f>
        <v>2.93997281113144E-006</v>
      </c>
      <c r="E333" s="8" t="n">
        <f aca="false">E332+D333</f>
        <v>0.999941200543775</v>
      </c>
      <c r="F333" s="7" t="str">
        <f aca="false">IF(E333&lt;=0.7,"A",IF(E333&lt;=0.9,"B","C"))</f>
        <v>C</v>
      </c>
      <c r="G333" s="7" t="n">
        <v>415</v>
      </c>
      <c r="H333" s="7" t="n">
        <v>50</v>
      </c>
    </row>
    <row r="334" customFormat="false" ht="15" hidden="false" customHeight="false" outlineLevel="0" collapsed="false">
      <c r="A334" s="7" t="n">
        <v>333</v>
      </c>
      <c r="B334" s="7" t="s">
        <v>1298</v>
      </c>
      <c r="C334" s="7" t="n">
        <v>0.5</v>
      </c>
      <c r="D334" s="8" t="n">
        <f aca="false">C334/SUM($C$2:$C$365)</f>
        <v>2.93997281113144E-006</v>
      </c>
      <c r="E334" s="8" t="n">
        <f aca="false">E333+D334</f>
        <v>0.999944140516586</v>
      </c>
      <c r="F334" s="7" t="str">
        <f aca="false">IF(E334&lt;=0.7,"A",IF(E334&lt;=0.9,"B","C"))</f>
        <v>C</v>
      </c>
      <c r="G334" s="7" t="n">
        <v>16</v>
      </c>
      <c r="H334" s="7" t="n">
        <v>50</v>
      </c>
    </row>
    <row r="335" customFormat="false" ht="15" hidden="false" customHeight="false" outlineLevel="0" collapsed="false">
      <c r="A335" s="7" t="n">
        <v>334</v>
      </c>
      <c r="B335" s="7" t="s">
        <v>1299</v>
      </c>
      <c r="C335" s="7" t="n">
        <v>0.5</v>
      </c>
      <c r="D335" s="8" t="n">
        <f aca="false">C335/SUM($C$2:$C$365)</f>
        <v>2.93997281113144E-006</v>
      </c>
      <c r="E335" s="8" t="n">
        <f aca="false">E334+D335</f>
        <v>0.999947080489398</v>
      </c>
      <c r="F335" s="7" t="str">
        <f aca="false">IF(E335&lt;=0.7,"A",IF(E335&lt;=0.9,"B","C"))</f>
        <v>C</v>
      </c>
      <c r="G335" s="7" t="n">
        <v>33</v>
      </c>
      <c r="H335" s="7" t="n">
        <v>50</v>
      </c>
    </row>
    <row r="336" customFormat="false" ht="15" hidden="false" customHeight="false" outlineLevel="0" collapsed="false">
      <c r="A336" s="7" t="n">
        <v>335</v>
      </c>
      <c r="B336" s="7" t="s">
        <v>1300</v>
      </c>
      <c r="C336" s="7" t="n">
        <v>0.3</v>
      </c>
      <c r="D336" s="8" t="n">
        <f aca="false">C336/SUM($C$2:$C$365)</f>
        <v>1.76398368667887E-006</v>
      </c>
      <c r="E336" s="8" t="n">
        <f aca="false">E335+D336</f>
        <v>0.999948844473084</v>
      </c>
      <c r="F336" s="7" t="str">
        <f aca="false">IF(E336&lt;=0.7,"A",IF(E336&lt;=0.9,"B","C"))</f>
        <v>C</v>
      </c>
      <c r="G336" s="7" t="n">
        <v>1358</v>
      </c>
      <c r="H336" s="7" t="n">
        <v>100</v>
      </c>
    </row>
    <row r="337" customFormat="false" ht="15" hidden="false" customHeight="false" outlineLevel="0" collapsed="false">
      <c r="A337" s="7" t="n">
        <v>336</v>
      </c>
      <c r="B337" s="7" t="s">
        <v>1301</v>
      </c>
      <c r="C337" s="7" t="n">
        <v>0.3</v>
      </c>
      <c r="D337" s="8" t="n">
        <f aca="false">C337/SUM($C$2:$C$365)</f>
        <v>1.76398368667887E-006</v>
      </c>
      <c r="E337" s="8" t="n">
        <f aca="false">E336+D337</f>
        <v>0.999950608456771</v>
      </c>
      <c r="F337" s="7" t="str">
        <f aca="false">IF(E337&lt;=0.7,"A",IF(E337&lt;=0.9,"B","C"))</f>
        <v>C</v>
      </c>
      <c r="G337" s="7" t="n">
        <v>11</v>
      </c>
      <c r="H337" s="7" t="n">
        <v>0</v>
      </c>
    </row>
    <row r="338" customFormat="false" ht="15" hidden="false" customHeight="false" outlineLevel="0" collapsed="false">
      <c r="A338" s="7" t="n">
        <v>337</v>
      </c>
      <c r="B338" s="7" t="s">
        <v>1302</v>
      </c>
      <c r="C338" s="7" t="n">
        <v>0.3</v>
      </c>
      <c r="D338" s="8" t="n">
        <f aca="false">C338/SUM($C$2:$C$365)</f>
        <v>1.76398368667887E-006</v>
      </c>
      <c r="E338" s="8" t="n">
        <f aca="false">E337+D338</f>
        <v>0.999952372440458</v>
      </c>
      <c r="F338" s="7" t="str">
        <f aca="false">IF(E338&lt;=0.7,"A",IF(E338&lt;=0.9,"B","C"))</f>
        <v>C</v>
      </c>
      <c r="G338" s="7" t="n">
        <v>2</v>
      </c>
      <c r="H338" s="7" t="n">
        <v>0</v>
      </c>
    </row>
    <row r="339" customFormat="false" ht="15" hidden="false" customHeight="false" outlineLevel="0" collapsed="false">
      <c r="A339" s="7" t="n">
        <v>338</v>
      </c>
      <c r="B339" s="7" t="s">
        <v>1303</v>
      </c>
      <c r="C339" s="7" t="n">
        <v>0.3</v>
      </c>
      <c r="D339" s="8" t="n">
        <f aca="false">C339/SUM($C$2:$C$365)</f>
        <v>1.76398368667887E-006</v>
      </c>
      <c r="E339" s="8" t="n">
        <f aca="false">E338+D339</f>
        <v>0.999954136424144</v>
      </c>
      <c r="F339" s="7" t="str">
        <f aca="false">IF(E339&lt;=0.7,"A",IF(E339&lt;=0.9,"B","C"))</f>
        <v>C</v>
      </c>
      <c r="G339" s="7" t="n">
        <v>237</v>
      </c>
      <c r="H339" s="7" t="n">
        <v>0</v>
      </c>
    </row>
    <row r="340" customFormat="false" ht="15" hidden="false" customHeight="false" outlineLevel="0" collapsed="false">
      <c r="A340" s="7" t="n">
        <v>339</v>
      </c>
      <c r="B340" s="7" t="s">
        <v>1304</v>
      </c>
      <c r="C340" s="7" t="n">
        <v>0.3</v>
      </c>
      <c r="D340" s="8" t="n">
        <f aca="false">C340/SUM($C$2:$C$365)</f>
        <v>1.76398368667887E-006</v>
      </c>
      <c r="E340" s="8" t="n">
        <f aca="false">E339+D340</f>
        <v>0.999955900407831</v>
      </c>
      <c r="F340" s="7" t="str">
        <f aca="false">IF(E340&lt;=0.7,"A",IF(E340&lt;=0.9,"B","C"))</f>
        <v>C</v>
      </c>
      <c r="G340" s="7" t="n">
        <v>11</v>
      </c>
      <c r="H340" s="7" t="n">
        <v>0</v>
      </c>
    </row>
    <row r="341" customFormat="false" ht="15" hidden="false" customHeight="false" outlineLevel="0" collapsed="false">
      <c r="A341" s="7" t="n">
        <v>340</v>
      </c>
      <c r="B341" s="7" t="s">
        <v>1305</v>
      </c>
      <c r="C341" s="7" t="n">
        <v>0.3</v>
      </c>
      <c r="D341" s="8" t="n">
        <f aca="false">C341/SUM($C$2:$C$365)</f>
        <v>1.76398368667887E-006</v>
      </c>
      <c r="E341" s="8" t="n">
        <f aca="false">E340+D341</f>
        <v>0.999957664391518</v>
      </c>
      <c r="F341" s="7" t="str">
        <f aca="false">IF(E341&lt;=0.7,"A",IF(E341&lt;=0.9,"B","C"))</f>
        <v>C</v>
      </c>
      <c r="G341" s="7" t="n">
        <v>51</v>
      </c>
      <c r="H341" s="7" t="n">
        <v>100</v>
      </c>
    </row>
    <row r="342" customFormat="false" ht="15" hidden="false" customHeight="false" outlineLevel="0" collapsed="false">
      <c r="A342" s="7" t="n">
        <v>341</v>
      </c>
      <c r="B342" s="7" t="s">
        <v>1306</v>
      </c>
      <c r="C342" s="7" t="n">
        <v>0.3</v>
      </c>
      <c r="D342" s="8" t="n">
        <f aca="false">C342/SUM($C$2:$C$365)</f>
        <v>1.76398368667887E-006</v>
      </c>
      <c r="E342" s="8" t="n">
        <f aca="false">E341+D342</f>
        <v>0.999959428375204</v>
      </c>
      <c r="F342" s="7" t="str">
        <f aca="false">IF(E342&lt;=0.7,"A",IF(E342&lt;=0.9,"B","C"))</f>
        <v>C</v>
      </c>
      <c r="G342" s="7" t="n">
        <v>88</v>
      </c>
      <c r="H342" s="7" t="n">
        <v>50</v>
      </c>
    </row>
    <row r="343" customFormat="false" ht="15" hidden="false" customHeight="false" outlineLevel="0" collapsed="false">
      <c r="A343" s="7" t="n">
        <v>342</v>
      </c>
      <c r="B343" s="7" t="s">
        <v>1307</v>
      </c>
      <c r="C343" s="7" t="n">
        <v>0.3</v>
      </c>
      <c r="D343" s="8" t="n">
        <f aca="false">C343/SUM($C$2:$C$365)</f>
        <v>1.76398368667887E-006</v>
      </c>
      <c r="E343" s="8" t="n">
        <f aca="false">E342+D343</f>
        <v>0.999961192358891</v>
      </c>
      <c r="F343" s="7" t="str">
        <f aca="false">IF(E343&lt;=0.7,"A",IF(E343&lt;=0.9,"B","C"))</f>
        <v>C</v>
      </c>
      <c r="G343" s="7" t="n">
        <v>11</v>
      </c>
      <c r="H343" s="7" t="n">
        <v>0</v>
      </c>
    </row>
    <row r="344" customFormat="false" ht="15" hidden="false" customHeight="false" outlineLevel="0" collapsed="false">
      <c r="A344" s="7" t="n">
        <v>343</v>
      </c>
      <c r="B344" s="7" t="s">
        <v>1308</v>
      </c>
      <c r="C344" s="7" t="n">
        <v>0.3</v>
      </c>
      <c r="D344" s="8" t="n">
        <f aca="false">C344/SUM($C$2:$C$365)</f>
        <v>1.76398368667887E-006</v>
      </c>
      <c r="E344" s="8" t="n">
        <f aca="false">E343+D344</f>
        <v>0.999962956342578</v>
      </c>
      <c r="F344" s="7" t="str">
        <f aca="false">IF(E344&lt;=0.7,"A",IF(E344&lt;=0.9,"B","C"))</f>
        <v>C</v>
      </c>
      <c r="G344" s="7" t="n">
        <v>76</v>
      </c>
      <c r="H344" s="7" t="n">
        <v>50</v>
      </c>
    </row>
    <row r="345" customFormat="false" ht="15" hidden="false" customHeight="false" outlineLevel="0" collapsed="false">
      <c r="A345" s="7" t="n">
        <v>344</v>
      </c>
      <c r="B345" s="7" t="s">
        <v>1309</v>
      </c>
      <c r="C345" s="7" t="n">
        <v>0.3</v>
      </c>
      <c r="D345" s="8" t="n">
        <f aca="false">C345/SUM($C$2:$C$365)</f>
        <v>1.76398368667887E-006</v>
      </c>
      <c r="E345" s="8" t="n">
        <f aca="false">E344+D345</f>
        <v>0.999964720326264</v>
      </c>
      <c r="F345" s="7" t="str">
        <f aca="false">IF(E345&lt;=0.7,"A",IF(E345&lt;=0.9,"B","C"))</f>
        <v>C</v>
      </c>
      <c r="G345" s="7" t="n">
        <v>1221</v>
      </c>
      <c r="H345" s="7" t="n">
        <v>50</v>
      </c>
    </row>
    <row r="346" customFormat="false" ht="15" hidden="false" customHeight="false" outlineLevel="0" collapsed="false">
      <c r="A346" s="7" t="n">
        <v>345</v>
      </c>
      <c r="B346" s="7" t="s">
        <v>1310</v>
      </c>
      <c r="C346" s="7" t="n">
        <v>0.3</v>
      </c>
      <c r="D346" s="8" t="n">
        <f aca="false">C346/SUM($C$2:$C$365)</f>
        <v>1.76398368667887E-006</v>
      </c>
      <c r="E346" s="8" t="n">
        <f aca="false">E345+D346</f>
        <v>0.999966484309951</v>
      </c>
      <c r="F346" s="7" t="str">
        <f aca="false">IF(E346&lt;=0.7,"A",IF(E346&lt;=0.9,"B","C"))</f>
        <v>C</v>
      </c>
      <c r="G346" s="7" t="n">
        <v>149</v>
      </c>
      <c r="H346" s="7" t="n">
        <v>50</v>
      </c>
    </row>
    <row r="347" customFormat="false" ht="15" hidden="false" customHeight="false" outlineLevel="0" collapsed="false">
      <c r="A347" s="7" t="n">
        <v>346</v>
      </c>
      <c r="B347" s="7" t="s">
        <v>1311</v>
      </c>
      <c r="C347" s="7" t="n">
        <v>0.3</v>
      </c>
      <c r="D347" s="8" t="n">
        <f aca="false">C347/SUM($C$2:$C$365)</f>
        <v>1.76398368667887E-006</v>
      </c>
      <c r="E347" s="8" t="n">
        <f aca="false">E346+D347</f>
        <v>0.999968248293638</v>
      </c>
      <c r="F347" s="7" t="str">
        <f aca="false">IF(E347&lt;=0.7,"A",IF(E347&lt;=0.9,"B","C"))</f>
        <v>C</v>
      </c>
      <c r="G347" s="7" t="n">
        <v>348</v>
      </c>
      <c r="H347" s="7" t="n">
        <v>50</v>
      </c>
    </row>
    <row r="348" customFormat="false" ht="15" hidden="false" customHeight="false" outlineLevel="0" collapsed="false">
      <c r="A348" s="7" t="n">
        <v>347</v>
      </c>
      <c r="B348" s="7" t="s">
        <v>1312</v>
      </c>
      <c r="C348" s="7" t="n">
        <v>0.3</v>
      </c>
      <c r="D348" s="8" t="n">
        <f aca="false">C348/SUM($C$2:$C$365)</f>
        <v>1.76398368667887E-006</v>
      </c>
      <c r="E348" s="8" t="n">
        <f aca="false">E347+D348</f>
        <v>0.999970012277324</v>
      </c>
      <c r="F348" s="7" t="str">
        <f aca="false">IF(E348&lt;=0.7,"A",IF(E348&lt;=0.9,"B","C"))</f>
        <v>C</v>
      </c>
      <c r="G348" s="7" t="n">
        <v>511</v>
      </c>
      <c r="H348" s="7" t="n">
        <v>100</v>
      </c>
    </row>
    <row r="349" customFormat="false" ht="15" hidden="false" customHeight="false" outlineLevel="0" collapsed="false">
      <c r="A349" s="7" t="n">
        <v>348</v>
      </c>
      <c r="B349" s="7" t="s">
        <v>1313</v>
      </c>
      <c r="C349" s="7" t="n">
        <v>0.3</v>
      </c>
      <c r="D349" s="8" t="n">
        <f aca="false">C349/SUM($C$2:$C$365)</f>
        <v>1.76398368667887E-006</v>
      </c>
      <c r="E349" s="8" t="n">
        <f aca="false">E348+D349</f>
        <v>0.999971776261011</v>
      </c>
      <c r="F349" s="7" t="str">
        <f aca="false">IF(E349&lt;=0.7,"A",IF(E349&lt;=0.9,"B","C"))</f>
        <v>C</v>
      </c>
      <c r="G349" s="7" t="n">
        <v>66</v>
      </c>
      <c r="H349" s="7" t="n">
        <v>50</v>
      </c>
    </row>
    <row r="350" customFormat="false" ht="15" hidden="false" customHeight="false" outlineLevel="0" collapsed="false">
      <c r="A350" s="7" t="n">
        <v>349</v>
      </c>
      <c r="B350" s="7" t="s">
        <v>1314</v>
      </c>
      <c r="C350" s="7" t="n">
        <v>0.3</v>
      </c>
      <c r="D350" s="8" t="n">
        <f aca="false">C350/SUM($C$2:$C$365)</f>
        <v>1.76398368667887E-006</v>
      </c>
      <c r="E350" s="8" t="n">
        <f aca="false">E349+D350</f>
        <v>0.999973540244698</v>
      </c>
      <c r="F350" s="7" t="str">
        <f aca="false">IF(E350&lt;=0.7,"A",IF(E350&lt;=0.9,"B","C"))</f>
        <v>C</v>
      </c>
      <c r="G350" s="7" t="n">
        <v>1842</v>
      </c>
      <c r="H350" s="7" t="n">
        <v>50</v>
      </c>
    </row>
    <row r="351" customFormat="false" ht="15" hidden="false" customHeight="false" outlineLevel="0" collapsed="false">
      <c r="A351" s="7" t="n">
        <v>350</v>
      </c>
      <c r="B351" s="7" t="s">
        <v>1315</v>
      </c>
      <c r="C351" s="7" t="n">
        <v>0.3</v>
      </c>
      <c r="D351" s="8" t="n">
        <f aca="false">C351/SUM($C$2:$C$365)</f>
        <v>1.76398368667887E-006</v>
      </c>
      <c r="E351" s="8" t="n">
        <f aca="false">E350+D351</f>
        <v>0.999975304228384</v>
      </c>
      <c r="F351" s="7" t="str">
        <f aca="false">IF(E351&lt;=0.7,"A",IF(E351&lt;=0.9,"B","C"))</f>
        <v>C</v>
      </c>
      <c r="G351" s="7" t="n">
        <v>45</v>
      </c>
      <c r="H351" s="7" t="n">
        <v>50</v>
      </c>
    </row>
    <row r="352" customFormat="false" ht="15" hidden="false" customHeight="false" outlineLevel="0" collapsed="false">
      <c r="A352" s="7" t="n">
        <v>351</v>
      </c>
      <c r="B352" s="7" t="s">
        <v>1316</v>
      </c>
      <c r="C352" s="7" t="n">
        <v>0.3</v>
      </c>
      <c r="D352" s="8" t="n">
        <f aca="false">C352/SUM($C$2:$C$365)</f>
        <v>1.76398368667887E-006</v>
      </c>
      <c r="E352" s="8" t="n">
        <f aca="false">E351+D352</f>
        <v>0.999977068212071</v>
      </c>
      <c r="F352" s="7" t="str">
        <f aca="false">IF(E352&lt;=0.7,"A",IF(E352&lt;=0.9,"B","C"))</f>
        <v>C</v>
      </c>
      <c r="G352" s="7" t="n">
        <v>22</v>
      </c>
      <c r="H352" s="7" t="n">
        <v>50</v>
      </c>
    </row>
    <row r="353" customFormat="false" ht="15" hidden="false" customHeight="false" outlineLevel="0" collapsed="false">
      <c r="A353" s="7" t="n">
        <v>352</v>
      </c>
      <c r="B353" s="7" t="s">
        <v>1317</v>
      </c>
      <c r="C353" s="7" t="n">
        <v>0.3</v>
      </c>
      <c r="D353" s="8" t="n">
        <f aca="false">C353/SUM($C$2:$C$365)</f>
        <v>1.76398368667887E-006</v>
      </c>
      <c r="E353" s="8" t="n">
        <f aca="false">E352+D353</f>
        <v>0.999978832195758</v>
      </c>
      <c r="F353" s="7" t="str">
        <f aca="false">IF(E353&lt;=0.7,"A",IF(E353&lt;=0.9,"B","C"))</f>
        <v>C</v>
      </c>
      <c r="G353" s="7" t="n">
        <v>29</v>
      </c>
      <c r="H353" s="7" t="n">
        <v>50</v>
      </c>
    </row>
    <row r="354" customFormat="false" ht="15" hidden="false" customHeight="false" outlineLevel="0" collapsed="false">
      <c r="A354" s="7" t="n">
        <v>353</v>
      </c>
      <c r="B354" s="7" t="s">
        <v>1318</v>
      </c>
      <c r="C354" s="7" t="n">
        <v>0.3</v>
      </c>
      <c r="D354" s="8" t="n">
        <f aca="false">C354/SUM($C$2:$C$365)</f>
        <v>1.76398368667887E-006</v>
      </c>
      <c r="E354" s="8" t="n">
        <f aca="false">E353+D354</f>
        <v>0.999980596179444</v>
      </c>
      <c r="F354" s="7" t="str">
        <f aca="false">IF(E354&lt;=0.7,"A",IF(E354&lt;=0.9,"B","C"))</f>
        <v>C</v>
      </c>
      <c r="G354" s="7" t="n">
        <v>41</v>
      </c>
      <c r="H354" s="7" t="n">
        <v>50</v>
      </c>
    </row>
    <row r="355" customFormat="false" ht="15" hidden="false" customHeight="false" outlineLevel="0" collapsed="false">
      <c r="A355" s="7" t="n">
        <v>354</v>
      </c>
      <c r="B355" s="7" t="s">
        <v>1319</v>
      </c>
      <c r="C355" s="7" t="n">
        <v>0.3</v>
      </c>
      <c r="D355" s="8" t="n">
        <f aca="false">C355/SUM($C$2:$C$365)</f>
        <v>1.76398368667887E-006</v>
      </c>
      <c r="E355" s="8" t="n">
        <f aca="false">E354+D355</f>
        <v>0.999982360163131</v>
      </c>
      <c r="F355" s="7" t="str">
        <f aca="false">IF(E355&lt;=0.7,"A",IF(E355&lt;=0.9,"B","C"))</f>
        <v>C</v>
      </c>
      <c r="G355" s="7" t="n">
        <v>16</v>
      </c>
      <c r="H355" s="7" t="n">
        <v>50</v>
      </c>
    </row>
    <row r="356" customFormat="false" ht="15" hidden="false" customHeight="false" outlineLevel="0" collapsed="false">
      <c r="A356" s="7" t="n">
        <v>355</v>
      </c>
      <c r="B356" s="7" t="s">
        <v>1320</v>
      </c>
      <c r="C356" s="7" t="n">
        <v>0.3</v>
      </c>
      <c r="D356" s="8" t="n">
        <f aca="false">C356/SUM($C$2:$C$365)</f>
        <v>1.76398368667887E-006</v>
      </c>
      <c r="E356" s="8" t="n">
        <f aca="false">E355+D356</f>
        <v>0.999984124146818</v>
      </c>
      <c r="F356" s="7" t="str">
        <f aca="false">IF(E356&lt;=0.7,"A",IF(E356&lt;=0.9,"B","C"))</f>
        <v>C</v>
      </c>
      <c r="G356" s="7" t="n">
        <v>2</v>
      </c>
      <c r="H356" s="7" t="n">
        <v>50</v>
      </c>
    </row>
    <row r="357" customFormat="false" ht="15" hidden="false" customHeight="false" outlineLevel="0" collapsed="false">
      <c r="A357" s="7" t="n">
        <v>356</v>
      </c>
      <c r="B357" s="7" t="s">
        <v>1321</v>
      </c>
      <c r="C357" s="7" t="n">
        <v>0.3</v>
      </c>
      <c r="D357" s="8" t="n">
        <f aca="false">C357/SUM($C$2:$C$365)</f>
        <v>1.76398368667887E-006</v>
      </c>
      <c r="E357" s="8" t="n">
        <f aca="false">E356+D357</f>
        <v>0.999985888130504</v>
      </c>
      <c r="F357" s="7" t="str">
        <f aca="false">IF(E357&lt;=0.7,"A",IF(E357&lt;=0.9,"B","C"))</f>
        <v>C</v>
      </c>
      <c r="G357" s="7" t="n">
        <v>5</v>
      </c>
      <c r="H357" s="7" t="n">
        <v>50</v>
      </c>
    </row>
    <row r="358" customFormat="false" ht="15" hidden="false" customHeight="false" outlineLevel="0" collapsed="false">
      <c r="A358" s="7" t="n">
        <v>357</v>
      </c>
      <c r="B358" s="7" t="s">
        <v>1322</v>
      </c>
      <c r="C358" s="7" t="n">
        <v>0.3</v>
      </c>
      <c r="D358" s="8" t="n">
        <f aca="false">C358/SUM($C$2:$C$365)</f>
        <v>1.76398368667887E-006</v>
      </c>
      <c r="E358" s="8" t="n">
        <f aca="false">E357+D358</f>
        <v>0.999987652114191</v>
      </c>
      <c r="F358" s="7" t="str">
        <f aca="false">IF(E358&lt;=0.7,"A",IF(E358&lt;=0.9,"B","C"))</f>
        <v>C</v>
      </c>
      <c r="G358" s="7" t="n">
        <v>44</v>
      </c>
      <c r="H358" s="7" t="n">
        <v>50</v>
      </c>
    </row>
    <row r="359" customFormat="false" ht="15" hidden="false" customHeight="false" outlineLevel="0" collapsed="false">
      <c r="A359" s="7" t="n">
        <v>358</v>
      </c>
      <c r="B359" s="7" t="s">
        <v>1323</v>
      </c>
      <c r="C359" s="7" t="n">
        <v>0.3</v>
      </c>
      <c r="D359" s="8" t="n">
        <f aca="false">C359/SUM($C$2:$C$365)</f>
        <v>1.76398368667887E-006</v>
      </c>
      <c r="E359" s="8" t="n">
        <f aca="false">E358+D359</f>
        <v>0.999989416097878</v>
      </c>
      <c r="F359" s="7" t="str">
        <f aca="false">IF(E359&lt;=0.7,"A",IF(E359&lt;=0.9,"B","C"))</f>
        <v>C</v>
      </c>
      <c r="G359" s="7" t="n">
        <v>97</v>
      </c>
      <c r="H359" s="7" t="n">
        <v>0</v>
      </c>
    </row>
    <row r="360" customFormat="false" ht="15" hidden="false" customHeight="false" outlineLevel="0" collapsed="false">
      <c r="A360" s="7" t="n">
        <v>359</v>
      </c>
      <c r="B360" s="7" t="s">
        <v>1324</v>
      </c>
      <c r="C360" s="7" t="n">
        <v>0.3</v>
      </c>
      <c r="D360" s="8" t="n">
        <f aca="false">C360/SUM($C$2:$C$365)</f>
        <v>1.76398368667887E-006</v>
      </c>
      <c r="E360" s="8" t="n">
        <f aca="false">E359+D360</f>
        <v>0.999991180081564</v>
      </c>
      <c r="F360" s="7" t="str">
        <f aca="false">IF(E360&lt;=0.7,"A",IF(E360&lt;=0.9,"B","C"))</f>
        <v>C</v>
      </c>
      <c r="G360" s="7" t="n">
        <v>30</v>
      </c>
      <c r="H360" s="7" t="n">
        <v>0</v>
      </c>
    </row>
    <row r="361" customFormat="false" ht="15" hidden="false" customHeight="false" outlineLevel="0" collapsed="false">
      <c r="A361" s="7" t="n">
        <v>360</v>
      </c>
      <c r="B361" s="7" t="s">
        <v>1325</v>
      </c>
      <c r="C361" s="7" t="n">
        <v>0.3</v>
      </c>
      <c r="D361" s="8" t="n">
        <f aca="false">C361/SUM($C$2:$C$365)</f>
        <v>1.76398368667887E-006</v>
      </c>
      <c r="E361" s="8" t="n">
        <f aca="false">E360+D361</f>
        <v>0.999992944065251</v>
      </c>
      <c r="F361" s="7" t="str">
        <f aca="false">IF(E361&lt;=0.7,"A",IF(E361&lt;=0.9,"B","C"))</f>
        <v>C</v>
      </c>
      <c r="G361" s="7" t="n">
        <v>8</v>
      </c>
      <c r="H361" s="7" t="n">
        <v>0</v>
      </c>
    </row>
    <row r="362" customFormat="false" ht="15" hidden="false" customHeight="false" outlineLevel="0" collapsed="false">
      <c r="A362" s="7" t="n">
        <v>361</v>
      </c>
      <c r="B362" s="7" t="s">
        <v>1326</v>
      </c>
      <c r="C362" s="7" t="n">
        <v>0.3</v>
      </c>
      <c r="D362" s="8" t="n">
        <f aca="false">C362/SUM($C$2:$C$365)</f>
        <v>1.76398368667887E-006</v>
      </c>
      <c r="E362" s="8" t="n">
        <f aca="false">E361+D362</f>
        <v>0.999994708048938</v>
      </c>
      <c r="F362" s="7" t="str">
        <f aca="false">IF(E362&lt;=0.7,"A",IF(E362&lt;=0.9,"B","C"))</f>
        <v>C</v>
      </c>
      <c r="G362" s="7" t="n">
        <v>633</v>
      </c>
      <c r="H362" s="7" t="n">
        <v>0</v>
      </c>
    </row>
    <row r="363" customFormat="false" ht="15" hidden="false" customHeight="false" outlineLevel="0" collapsed="false">
      <c r="A363" s="7" t="n">
        <v>362</v>
      </c>
      <c r="B363" s="7" t="s">
        <v>1327</v>
      </c>
      <c r="C363" s="7" t="n">
        <v>0.3</v>
      </c>
      <c r="D363" s="8" t="n">
        <f aca="false">C363/SUM($C$2:$C$365)</f>
        <v>1.76398368667887E-006</v>
      </c>
      <c r="E363" s="8" t="n">
        <f aca="false">E362+D363</f>
        <v>0.999996472032624</v>
      </c>
      <c r="F363" s="7" t="str">
        <f aca="false">IF(E363&lt;=0.7,"A",IF(E363&lt;=0.9,"B","C"))</f>
        <v>C</v>
      </c>
      <c r="G363" s="7" t="n">
        <v>338</v>
      </c>
      <c r="H363" s="7" t="n">
        <v>0</v>
      </c>
    </row>
    <row r="364" customFormat="false" ht="15" hidden="false" customHeight="false" outlineLevel="0" collapsed="false">
      <c r="A364" s="7" t="n">
        <v>363</v>
      </c>
      <c r="B364" s="7" t="s">
        <v>1328</v>
      </c>
      <c r="C364" s="7" t="n">
        <v>0.3</v>
      </c>
      <c r="D364" s="8" t="n">
        <f aca="false">C364/SUM($C$2:$C$365)</f>
        <v>1.76398368667887E-006</v>
      </c>
      <c r="E364" s="8" t="n">
        <f aca="false">E363+D364</f>
        <v>0.999998236016311</v>
      </c>
      <c r="F364" s="7" t="str">
        <f aca="false">IF(E364&lt;=0.7,"A",IF(E364&lt;=0.9,"B","C"))</f>
        <v>C</v>
      </c>
      <c r="G364" s="7" t="n">
        <v>11</v>
      </c>
      <c r="H364" s="7" t="n">
        <v>0</v>
      </c>
    </row>
    <row r="365" customFormat="false" ht="15" hidden="false" customHeight="false" outlineLevel="0" collapsed="false">
      <c r="A365" s="7" t="n">
        <v>364</v>
      </c>
      <c r="B365" s="7" t="s">
        <v>1329</v>
      </c>
      <c r="C365" s="7" t="n">
        <v>0.3</v>
      </c>
      <c r="D365" s="8" t="n">
        <f aca="false">C365/SUM($C$2:$C$365)</f>
        <v>1.76398368667887E-006</v>
      </c>
      <c r="E365" s="8" t="n">
        <f aca="false">E364+D365</f>
        <v>0.999999999999998</v>
      </c>
      <c r="F365" s="7" t="str">
        <f aca="false">IF(E365&lt;=0.7,"A",IF(E365&lt;=0.9,"B","C"))</f>
        <v>C</v>
      </c>
      <c r="G365" s="7" t="n">
        <v>12</v>
      </c>
      <c r="H365" s="7" t="n">
        <v>0</v>
      </c>
    </row>
    <row r="366" customFormat="false" ht="15" hidden="false" customHeight="false" outlineLevel="0" collapsed="false">
      <c r="A366" s="9" t="n">
        <v>365</v>
      </c>
      <c r="B366" s="9" t="s">
        <v>1330</v>
      </c>
      <c r="C366" s="9" t="n">
        <v>0</v>
      </c>
      <c r="D366" s="9"/>
      <c r="E366" s="9"/>
      <c r="F366" s="9" t="s">
        <v>196</v>
      </c>
      <c r="G366" s="9" t="n">
        <v>49</v>
      </c>
      <c r="H366" s="9" t="n">
        <v>0</v>
      </c>
    </row>
    <row r="367" customFormat="false" ht="15" hidden="false" customHeight="false" outlineLevel="0" collapsed="false">
      <c r="A367" s="9" t="n">
        <v>366</v>
      </c>
      <c r="B367" s="9" t="s">
        <v>1331</v>
      </c>
      <c r="C367" s="9" t="n">
        <v>0</v>
      </c>
      <c r="D367" s="9"/>
      <c r="E367" s="9"/>
      <c r="F367" s="9" t="s">
        <v>196</v>
      </c>
      <c r="G367" s="9" t="n">
        <v>141</v>
      </c>
      <c r="H367" s="9" t="n">
        <v>50</v>
      </c>
    </row>
    <row r="368" customFormat="false" ht="15" hidden="false" customHeight="false" outlineLevel="0" collapsed="false">
      <c r="A368" s="9" t="n">
        <v>367</v>
      </c>
      <c r="B368" s="9" t="s">
        <v>1332</v>
      </c>
      <c r="C368" s="9" t="n">
        <v>0</v>
      </c>
      <c r="D368" s="9"/>
      <c r="E368" s="9"/>
      <c r="F368" s="9" t="s">
        <v>196</v>
      </c>
      <c r="G368" s="9" t="n">
        <v>118</v>
      </c>
      <c r="H368" s="9" t="n">
        <v>0</v>
      </c>
    </row>
    <row r="369" customFormat="false" ht="15" hidden="false" customHeight="false" outlineLevel="0" collapsed="false">
      <c r="A369" s="9" t="n">
        <v>368</v>
      </c>
      <c r="B369" s="9" t="s">
        <v>1333</v>
      </c>
      <c r="C369" s="9" t="n">
        <v>0</v>
      </c>
      <c r="D369" s="9"/>
      <c r="E369" s="9"/>
      <c r="F369" s="9" t="s">
        <v>196</v>
      </c>
      <c r="G369" s="9" t="n">
        <v>11</v>
      </c>
      <c r="H369" s="9" t="n">
        <v>0</v>
      </c>
    </row>
    <row r="370" customFormat="false" ht="15" hidden="false" customHeight="false" outlineLevel="0" collapsed="false">
      <c r="A370" s="9" t="n">
        <v>369</v>
      </c>
      <c r="B370" s="9" t="s">
        <v>1334</v>
      </c>
      <c r="C370" s="9" t="n">
        <v>0</v>
      </c>
      <c r="D370" s="9"/>
      <c r="E370" s="9"/>
      <c r="F370" s="9" t="s">
        <v>196</v>
      </c>
      <c r="G370" s="9" t="n">
        <v>11</v>
      </c>
      <c r="H370" s="9" t="n">
        <v>0</v>
      </c>
    </row>
    <row r="371" customFormat="false" ht="15" hidden="false" customHeight="false" outlineLevel="0" collapsed="false">
      <c r="A371" s="9" t="n">
        <v>370</v>
      </c>
      <c r="B371" s="9" t="s">
        <v>1335</v>
      </c>
      <c r="C371" s="9" t="n">
        <v>0</v>
      </c>
      <c r="D371" s="9"/>
      <c r="E371" s="9"/>
      <c r="F371" s="9" t="s">
        <v>196</v>
      </c>
      <c r="G371" s="9" t="n">
        <v>90</v>
      </c>
      <c r="H371" s="9" t="n">
        <v>0</v>
      </c>
    </row>
    <row r="372" customFormat="false" ht="15" hidden="false" customHeight="false" outlineLevel="0" collapsed="false">
      <c r="A372" s="9" t="n">
        <v>371</v>
      </c>
      <c r="B372" s="9" t="s">
        <v>1336</v>
      </c>
      <c r="C372" s="9" t="n">
        <v>0</v>
      </c>
      <c r="D372" s="9"/>
      <c r="E372" s="9"/>
      <c r="F372" s="9" t="s">
        <v>196</v>
      </c>
      <c r="G372" s="9" t="n">
        <v>2468</v>
      </c>
      <c r="H372" s="9" t="n">
        <v>0</v>
      </c>
    </row>
    <row r="373" customFormat="false" ht="15" hidden="false" customHeight="false" outlineLevel="0" collapsed="false">
      <c r="A373" s="9" t="n">
        <v>372</v>
      </c>
      <c r="B373" s="9" t="s">
        <v>1337</v>
      </c>
      <c r="C373" s="9" t="n">
        <v>0</v>
      </c>
      <c r="D373" s="9"/>
      <c r="E373" s="9"/>
      <c r="F373" s="9" t="s">
        <v>196</v>
      </c>
      <c r="G373" s="9" t="n">
        <v>2779</v>
      </c>
      <c r="H373" s="9" t="n">
        <v>0</v>
      </c>
    </row>
    <row r="374" customFormat="false" ht="15" hidden="false" customHeight="false" outlineLevel="0" collapsed="false">
      <c r="A374" s="9" t="n">
        <v>373</v>
      </c>
      <c r="B374" s="9" t="s">
        <v>1338</v>
      </c>
      <c r="C374" s="9" t="n">
        <v>0</v>
      </c>
      <c r="D374" s="9"/>
      <c r="E374" s="9"/>
      <c r="F374" s="9" t="s">
        <v>196</v>
      </c>
      <c r="G374" s="9" t="n">
        <v>1000</v>
      </c>
      <c r="H374" s="9" t="n">
        <v>0</v>
      </c>
    </row>
    <row r="375" customFormat="false" ht="15" hidden="false" customHeight="false" outlineLevel="0" collapsed="false">
      <c r="A375" s="9" t="n">
        <v>374</v>
      </c>
      <c r="B375" s="9" t="s">
        <v>1339</v>
      </c>
      <c r="C375" s="9" t="n">
        <v>0</v>
      </c>
      <c r="D375" s="9"/>
      <c r="E375" s="9"/>
      <c r="F375" s="9" t="s">
        <v>196</v>
      </c>
      <c r="G375" s="9" t="n">
        <v>1</v>
      </c>
      <c r="H375" s="9" t="n">
        <v>0</v>
      </c>
    </row>
    <row r="376" customFormat="false" ht="15" hidden="false" customHeight="false" outlineLevel="0" collapsed="false">
      <c r="A376" s="9" t="n">
        <v>375</v>
      </c>
      <c r="B376" s="9" t="s">
        <v>1340</v>
      </c>
      <c r="C376" s="9" t="n">
        <v>0</v>
      </c>
      <c r="D376" s="9"/>
      <c r="E376" s="9"/>
      <c r="F376" s="9" t="s">
        <v>196</v>
      </c>
      <c r="G376" s="9" t="n">
        <v>590</v>
      </c>
      <c r="H376" s="9" t="n">
        <v>0</v>
      </c>
    </row>
    <row r="377" customFormat="false" ht="15" hidden="false" customHeight="false" outlineLevel="0" collapsed="false">
      <c r="A377" s="9" t="n">
        <v>376</v>
      </c>
      <c r="B377" s="9" t="s">
        <v>1341</v>
      </c>
      <c r="C377" s="9" t="n">
        <v>0</v>
      </c>
      <c r="D377" s="9"/>
      <c r="E377" s="9"/>
      <c r="F377" s="9" t="s">
        <v>196</v>
      </c>
      <c r="G377" s="9" t="n">
        <v>1</v>
      </c>
      <c r="H377" s="9" t="n">
        <v>0</v>
      </c>
    </row>
    <row r="378" customFormat="false" ht="15" hidden="false" customHeight="false" outlineLevel="0" collapsed="false">
      <c r="A378" s="9" t="n">
        <v>377</v>
      </c>
      <c r="B378" s="9" t="s">
        <v>1342</v>
      </c>
      <c r="C378" s="9" t="n">
        <v>0</v>
      </c>
      <c r="D378" s="9"/>
      <c r="E378" s="9"/>
      <c r="F378" s="9" t="s">
        <v>196</v>
      </c>
      <c r="G378" s="9" t="n">
        <v>77</v>
      </c>
      <c r="H378" s="9" t="n">
        <v>50</v>
      </c>
    </row>
    <row r="379" customFormat="false" ht="15" hidden="false" customHeight="false" outlineLevel="0" collapsed="false">
      <c r="A379" s="9" t="n">
        <v>378</v>
      </c>
      <c r="B379" s="9" t="s">
        <v>1343</v>
      </c>
      <c r="C379" s="9" t="n">
        <v>0</v>
      </c>
      <c r="D379" s="9"/>
      <c r="E379" s="9"/>
      <c r="F379" s="9" t="s">
        <v>196</v>
      </c>
      <c r="G379" s="9" t="n">
        <v>2</v>
      </c>
      <c r="H379" s="9" t="n">
        <v>50</v>
      </c>
    </row>
    <row r="380" customFormat="false" ht="15" hidden="false" customHeight="false" outlineLevel="0" collapsed="false">
      <c r="A380" s="9" t="n">
        <v>379</v>
      </c>
      <c r="B380" s="9" t="s">
        <v>1344</v>
      </c>
      <c r="C380" s="9" t="n">
        <v>0</v>
      </c>
      <c r="D380" s="9"/>
      <c r="E380" s="9"/>
      <c r="F380" s="9" t="s">
        <v>196</v>
      </c>
      <c r="G380" s="9" t="n">
        <v>1</v>
      </c>
      <c r="H380" s="9" t="n">
        <v>0</v>
      </c>
    </row>
    <row r="381" customFormat="false" ht="15" hidden="false" customHeight="false" outlineLevel="0" collapsed="false">
      <c r="A381" s="9" t="n">
        <v>380</v>
      </c>
      <c r="B381" s="9" t="s">
        <v>1345</v>
      </c>
      <c r="C381" s="9" t="n">
        <v>0</v>
      </c>
      <c r="D381" s="9"/>
      <c r="E381" s="9"/>
      <c r="F381" s="9" t="s">
        <v>196</v>
      </c>
      <c r="G381" s="9" t="n">
        <v>2</v>
      </c>
      <c r="H381" s="9" t="n">
        <v>0</v>
      </c>
    </row>
    <row r="382" customFormat="false" ht="15" hidden="false" customHeight="false" outlineLevel="0" collapsed="false">
      <c r="A382" s="9" t="n">
        <v>381</v>
      </c>
      <c r="B382" s="9" t="s">
        <v>1346</v>
      </c>
      <c r="C382" s="9" t="n">
        <v>0</v>
      </c>
      <c r="D382" s="9"/>
      <c r="E382" s="9"/>
      <c r="F382" s="9" t="s">
        <v>196</v>
      </c>
      <c r="G382" s="9" t="n">
        <v>85</v>
      </c>
      <c r="H382" s="9" t="n">
        <v>50</v>
      </c>
    </row>
    <row r="383" customFormat="false" ht="15" hidden="false" customHeight="false" outlineLevel="0" collapsed="false">
      <c r="A383" s="9" t="n">
        <v>382</v>
      </c>
      <c r="B383" s="9" t="s">
        <v>1347</v>
      </c>
      <c r="C383" s="9" t="n">
        <v>0</v>
      </c>
      <c r="D383" s="9"/>
      <c r="E383" s="9"/>
      <c r="F383" s="9" t="s">
        <v>196</v>
      </c>
      <c r="G383" s="9" t="n">
        <v>11</v>
      </c>
      <c r="H383" s="9" t="n">
        <v>0</v>
      </c>
    </row>
    <row r="384" customFormat="false" ht="15" hidden="false" customHeight="false" outlineLevel="0" collapsed="false">
      <c r="A384" s="9" t="n">
        <v>383</v>
      </c>
      <c r="B384" s="9" t="s">
        <v>1348</v>
      </c>
      <c r="C384" s="9" t="n">
        <v>0</v>
      </c>
      <c r="D384" s="9"/>
      <c r="E384" s="9"/>
      <c r="F384" s="9" t="s">
        <v>196</v>
      </c>
      <c r="G384" s="9" t="n">
        <v>1</v>
      </c>
      <c r="H384" s="9" t="n">
        <v>0</v>
      </c>
    </row>
    <row r="385" customFormat="false" ht="15" hidden="false" customHeight="false" outlineLevel="0" collapsed="false">
      <c r="A385" s="9" t="n">
        <v>384</v>
      </c>
      <c r="B385" s="9" t="s">
        <v>1349</v>
      </c>
      <c r="C385" s="9" t="n">
        <v>0</v>
      </c>
      <c r="D385" s="9"/>
      <c r="E385" s="9"/>
      <c r="F385" s="9" t="s">
        <v>196</v>
      </c>
      <c r="G385" s="9" t="n">
        <v>1</v>
      </c>
      <c r="H385" s="9" t="n">
        <v>0</v>
      </c>
    </row>
    <row r="386" customFormat="false" ht="15" hidden="false" customHeight="false" outlineLevel="0" collapsed="false">
      <c r="A386" s="9" t="n">
        <v>385</v>
      </c>
      <c r="B386" s="9" t="s">
        <v>1350</v>
      </c>
      <c r="C386" s="9" t="n">
        <v>0</v>
      </c>
      <c r="D386" s="9"/>
      <c r="E386" s="9"/>
      <c r="F386" s="9" t="s">
        <v>196</v>
      </c>
      <c r="G386" s="9" t="n">
        <v>12</v>
      </c>
      <c r="H386" s="9" t="n">
        <v>0</v>
      </c>
    </row>
    <row r="387" customFormat="false" ht="15" hidden="false" customHeight="false" outlineLevel="0" collapsed="false">
      <c r="A387" s="9" t="n">
        <v>386</v>
      </c>
      <c r="B387" s="9" t="s">
        <v>1351</v>
      </c>
      <c r="C387" s="9" t="n">
        <v>0</v>
      </c>
      <c r="D387" s="9"/>
      <c r="E387" s="9"/>
      <c r="F387" s="9" t="s">
        <v>196</v>
      </c>
      <c r="G387" s="9" t="n">
        <v>1</v>
      </c>
      <c r="H387" s="9" t="n">
        <v>0</v>
      </c>
    </row>
    <row r="388" customFormat="false" ht="15" hidden="false" customHeight="false" outlineLevel="0" collapsed="false">
      <c r="A388" s="9" t="n">
        <v>387</v>
      </c>
      <c r="B388" s="9" t="s">
        <v>1352</v>
      </c>
      <c r="C388" s="9" t="n">
        <v>0</v>
      </c>
      <c r="D388" s="9"/>
      <c r="E388" s="9"/>
      <c r="F388" s="9" t="s">
        <v>196</v>
      </c>
      <c r="G388" s="9" t="n">
        <v>2</v>
      </c>
      <c r="H388" s="9" t="n">
        <v>0</v>
      </c>
    </row>
    <row r="389" customFormat="false" ht="15" hidden="false" customHeight="false" outlineLevel="0" collapsed="false">
      <c r="A389" s="9" t="n">
        <v>388</v>
      </c>
      <c r="B389" s="9" t="s">
        <v>1353</v>
      </c>
      <c r="C389" s="9" t="n">
        <v>0</v>
      </c>
      <c r="D389" s="9"/>
      <c r="E389" s="9"/>
      <c r="F389" s="9" t="s">
        <v>196</v>
      </c>
      <c r="G389" s="9" t="n">
        <v>1</v>
      </c>
      <c r="H389" s="9" t="n">
        <v>0</v>
      </c>
    </row>
    <row r="390" customFormat="false" ht="15" hidden="false" customHeight="false" outlineLevel="0" collapsed="false">
      <c r="A390" s="9" t="n">
        <v>389</v>
      </c>
      <c r="B390" s="9" t="s">
        <v>1354</v>
      </c>
      <c r="C390" s="9" t="n">
        <v>0</v>
      </c>
      <c r="D390" s="9"/>
      <c r="E390" s="9"/>
      <c r="F390" s="9" t="s">
        <v>196</v>
      </c>
      <c r="G390" s="9" t="n">
        <v>24</v>
      </c>
      <c r="H390" s="9" t="n">
        <v>0</v>
      </c>
    </row>
    <row r="391" customFormat="false" ht="15" hidden="false" customHeight="false" outlineLevel="0" collapsed="false">
      <c r="A391" s="9" t="n">
        <v>390</v>
      </c>
      <c r="B391" s="9" t="s">
        <v>1355</v>
      </c>
      <c r="C391" s="9" t="n">
        <v>0</v>
      </c>
      <c r="D391" s="9"/>
      <c r="E391" s="9"/>
      <c r="F391" s="9" t="s">
        <v>196</v>
      </c>
      <c r="G391" s="9" t="n">
        <v>1</v>
      </c>
      <c r="H391" s="9" t="n">
        <v>0</v>
      </c>
    </row>
    <row r="392" customFormat="false" ht="15" hidden="false" customHeight="false" outlineLevel="0" collapsed="false">
      <c r="A392" s="9" t="n">
        <v>391</v>
      </c>
      <c r="B392" s="9" t="s">
        <v>1356</v>
      </c>
      <c r="C392" s="9" t="n">
        <v>0</v>
      </c>
      <c r="D392" s="9"/>
      <c r="E392" s="9"/>
      <c r="F392" s="9" t="s">
        <v>196</v>
      </c>
      <c r="G392" s="9" t="n">
        <v>1</v>
      </c>
      <c r="H392" s="9" t="n">
        <v>0</v>
      </c>
    </row>
    <row r="393" customFormat="false" ht="15" hidden="false" customHeight="false" outlineLevel="0" collapsed="false">
      <c r="A393" s="9" t="n">
        <v>392</v>
      </c>
      <c r="B393" s="9" t="s">
        <v>1357</v>
      </c>
      <c r="C393" s="9" t="n">
        <v>0</v>
      </c>
      <c r="D393" s="9"/>
      <c r="E393" s="9"/>
      <c r="F393" s="9" t="s">
        <v>196</v>
      </c>
      <c r="G393" s="9" t="n">
        <v>1</v>
      </c>
      <c r="H393" s="9" t="n">
        <v>0</v>
      </c>
    </row>
    <row r="394" customFormat="false" ht="15" hidden="false" customHeight="false" outlineLevel="0" collapsed="false">
      <c r="A394" s="9" t="n">
        <v>393</v>
      </c>
      <c r="B394" s="9" t="s">
        <v>1358</v>
      </c>
      <c r="C394" s="9" t="n">
        <v>0</v>
      </c>
      <c r="D394" s="9"/>
      <c r="E394" s="9"/>
      <c r="F394" s="9" t="s">
        <v>196</v>
      </c>
      <c r="G394" s="9" t="n">
        <v>558</v>
      </c>
      <c r="H394" s="9" t="n">
        <v>50</v>
      </c>
    </row>
    <row r="395" customFormat="false" ht="15" hidden="false" customHeight="false" outlineLevel="0" collapsed="false">
      <c r="A395" s="9" t="n">
        <v>394</v>
      </c>
      <c r="B395" s="9" t="s">
        <v>1359</v>
      </c>
      <c r="C395" s="9" t="n">
        <v>0</v>
      </c>
      <c r="D395" s="9"/>
      <c r="E395" s="9"/>
      <c r="F395" s="9" t="s">
        <v>196</v>
      </c>
      <c r="G395" s="9" t="n">
        <v>209</v>
      </c>
      <c r="H395" s="9" t="n">
        <v>0</v>
      </c>
    </row>
    <row r="396" customFormat="false" ht="15" hidden="false" customHeight="false" outlineLevel="0" collapsed="false">
      <c r="A396" s="9" t="n">
        <v>395</v>
      </c>
      <c r="B396" s="9" t="s">
        <v>1360</v>
      </c>
      <c r="C396" s="9" t="n">
        <v>0</v>
      </c>
      <c r="D396" s="9"/>
      <c r="E396" s="9"/>
      <c r="F396" s="9" t="s">
        <v>196</v>
      </c>
      <c r="G396" s="9" t="n">
        <v>499</v>
      </c>
      <c r="H396" s="9" t="n">
        <v>0</v>
      </c>
    </row>
    <row r="397" customFormat="false" ht="15" hidden="false" customHeight="false" outlineLevel="0" collapsed="false">
      <c r="A397" s="9" t="n">
        <v>396</v>
      </c>
      <c r="B397" s="9" t="s">
        <v>1361</v>
      </c>
      <c r="C397" s="9" t="n">
        <v>0</v>
      </c>
      <c r="D397" s="9"/>
      <c r="E397" s="9"/>
      <c r="F397" s="9" t="s">
        <v>196</v>
      </c>
      <c r="G397" s="9" t="n">
        <v>320</v>
      </c>
      <c r="H397" s="9" t="n">
        <v>0</v>
      </c>
    </row>
    <row r="398" customFormat="false" ht="15" hidden="false" customHeight="false" outlineLevel="0" collapsed="false">
      <c r="A398" s="9" t="n">
        <v>397</v>
      </c>
      <c r="B398" s="9" t="s">
        <v>1362</v>
      </c>
      <c r="C398" s="9" t="n">
        <v>0</v>
      </c>
      <c r="D398" s="9"/>
      <c r="E398" s="9"/>
      <c r="F398" s="9" t="s">
        <v>196</v>
      </c>
      <c r="G398" s="9" t="n">
        <v>275</v>
      </c>
      <c r="H398" s="9" t="n">
        <v>0</v>
      </c>
    </row>
    <row r="399" customFormat="false" ht="15" hidden="false" customHeight="false" outlineLevel="0" collapsed="false">
      <c r="A399" s="9" t="n">
        <v>398</v>
      </c>
      <c r="B399" s="9" t="s">
        <v>1363</v>
      </c>
      <c r="C399" s="9" t="n">
        <v>0</v>
      </c>
      <c r="D399" s="9"/>
      <c r="E399" s="9"/>
      <c r="F399" s="9" t="s">
        <v>196</v>
      </c>
      <c r="G399" s="9" t="n">
        <v>114</v>
      </c>
      <c r="H399" s="9" t="n">
        <v>0</v>
      </c>
    </row>
    <row r="400" customFormat="false" ht="15" hidden="false" customHeight="false" outlineLevel="0" collapsed="false">
      <c r="A400" s="9" t="n">
        <v>399</v>
      </c>
      <c r="B400" s="9" t="s">
        <v>1364</v>
      </c>
      <c r="C400" s="9" t="n">
        <v>0</v>
      </c>
      <c r="D400" s="9"/>
      <c r="E400" s="9"/>
      <c r="F400" s="9" t="s">
        <v>196</v>
      </c>
      <c r="G400" s="9" t="n">
        <v>10</v>
      </c>
      <c r="H400" s="9" t="n">
        <v>0</v>
      </c>
    </row>
    <row r="401" customFormat="false" ht="15" hidden="false" customHeight="false" outlineLevel="0" collapsed="false">
      <c r="A401" s="9" t="n">
        <v>400</v>
      </c>
      <c r="B401" s="9" t="s">
        <v>1365</v>
      </c>
      <c r="C401" s="9" t="n">
        <v>0</v>
      </c>
      <c r="D401" s="9"/>
      <c r="E401" s="9"/>
      <c r="F401" s="9" t="s">
        <v>196</v>
      </c>
      <c r="G401" s="9" t="n">
        <v>10</v>
      </c>
      <c r="H401" s="9" t="n">
        <v>0</v>
      </c>
    </row>
    <row r="402" customFormat="false" ht="15" hidden="false" customHeight="false" outlineLevel="0" collapsed="false">
      <c r="A402" s="9" t="n">
        <v>401</v>
      </c>
      <c r="B402" s="9" t="s">
        <v>1366</v>
      </c>
      <c r="C402" s="9" t="n">
        <v>0</v>
      </c>
      <c r="D402" s="9"/>
      <c r="E402" s="9"/>
      <c r="F402" s="9" t="s">
        <v>196</v>
      </c>
      <c r="G402" s="9" t="n">
        <v>308</v>
      </c>
      <c r="H402" s="9" t="n">
        <v>0</v>
      </c>
    </row>
    <row r="403" customFormat="false" ht="15" hidden="false" customHeight="false" outlineLevel="0" collapsed="false">
      <c r="A403" s="9" t="n">
        <v>402</v>
      </c>
      <c r="B403" s="9" t="s">
        <v>1367</v>
      </c>
      <c r="C403" s="9" t="n">
        <v>0</v>
      </c>
      <c r="D403" s="9"/>
      <c r="E403" s="9"/>
      <c r="F403" s="9" t="s">
        <v>196</v>
      </c>
      <c r="G403" s="9" t="n">
        <v>6</v>
      </c>
      <c r="H403" s="9" t="n">
        <v>0</v>
      </c>
    </row>
    <row r="404" customFormat="false" ht="15" hidden="false" customHeight="false" outlineLevel="0" collapsed="false">
      <c r="A404" s="9" t="n">
        <v>403</v>
      </c>
      <c r="B404" s="9" t="s">
        <v>1368</v>
      </c>
      <c r="C404" s="9" t="n">
        <v>0</v>
      </c>
      <c r="D404" s="9"/>
      <c r="E404" s="9"/>
      <c r="F404" s="9" t="s">
        <v>196</v>
      </c>
      <c r="G404" s="9" t="n">
        <v>2</v>
      </c>
      <c r="H404" s="9" t="n">
        <v>0</v>
      </c>
    </row>
    <row r="405" customFormat="false" ht="15" hidden="false" customHeight="false" outlineLevel="0" collapsed="false">
      <c r="A405" s="9" t="n">
        <v>404</v>
      </c>
      <c r="B405" s="9" t="s">
        <v>1369</v>
      </c>
      <c r="C405" s="9" t="n">
        <v>0</v>
      </c>
      <c r="D405" s="9"/>
      <c r="E405" s="9"/>
      <c r="F405" s="9" t="s">
        <v>196</v>
      </c>
      <c r="G405" s="9" t="n">
        <v>1</v>
      </c>
      <c r="H405" s="9" t="n">
        <v>0</v>
      </c>
    </row>
    <row r="406" customFormat="false" ht="15" hidden="false" customHeight="false" outlineLevel="0" collapsed="false">
      <c r="A406" s="9" t="n">
        <v>405</v>
      </c>
      <c r="B406" s="9" t="s">
        <v>1370</v>
      </c>
      <c r="C406" s="9" t="n">
        <v>0</v>
      </c>
      <c r="D406" s="9"/>
      <c r="E406" s="9"/>
      <c r="F406" s="9" t="s">
        <v>196</v>
      </c>
      <c r="G406" s="9" t="n">
        <v>1281</v>
      </c>
      <c r="H406" s="9" t="n">
        <v>0</v>
      </c>
    </row>
    <row r="407" customFormat="false" ht="15" hidden="false" customHeight="false" outlineLevel="0" collapsed="false">
      <c r="A407" s="9" t="n">
        <v>406</v>
      </c>
      <c r="B407" s="9" t="s">
        <v>1371</v>
      </c>
      <c r="C407" s="9" t="n">
        <v>0</v>
      </c>
      <c r="D407" s="9"/>
      <c r="E407" s="9"/>
      <c r="F407" s="9" t="s">
        <v>196</v>
      </c>
      <c r="G407" s="9" t="n">
        <v>200</v>
      </c>
      <c r="H407" s="9" t="n">
        <v>0</v>
      </c>
    </row>
    <row r="408" customFormat="false" ht="15" hidden="false" customHeight="false" outlineLevel="0" collapsed="false">
      <c r="A408" s="9" t="n">
        <v>407</v>
      </c>
      <c r="B408" s="9" t="s">
        <v>1372</v>
      </c>
      <c r="C408" s="9" t="n">
        <v>0</v>
      </c>
      <c r="D408" s="9"/>
      <c r="E408" s="9"/>
      <c r="F408" s="9" t="s">
        <v>196</v>
      </c>
      <c r="G408" s="9" t="n">
        <v>2460</v>
      </c>
      <c r="H408" s="9" t="n">
        <v>0</v>
      </c>
    </row>
    <row r="409" customFormat="false" ht="15" hidden="false" customHeight="false" outlineLevel="0" collapsed="false">
      <c r="A409" s="9" t="n">
        <v>408</v>
      </c>
      <c r="B409" s="9" t="s">
        <v>1373</v>
      </c>
      <c r="C409" s="9" t="n">
        <v>0</v>
      </c>
      <c r="D409" s="9"/>
      <c r="E409" s="9"/>
      <c r="F409" s="9" t="s">
        <v>196</v>
      </c>
      <c r="G409" s="9" t="n">
        <v>1</v>
      </c>
      <c r="H409" s="9" t="n">
        <v>0</v>
      </c>
    </row>
    <row r="410" customFormat="false" ht="15" hidden="false" customHeight="false" outlineLevel="0" collapsed="false">
      <c r="A410" s="9" t="n">
        <v>409</v>
      </c>
      <c r="B410" s="9" t="s">
        <v>1374</v>
      </c>
      <c r="C410" s="9" t="n">
        <v>0</v>
      </c>
      <c r="D410" s="9"/>
      <c r="E410" s="9"/>
      <c r="F410" s="9" t="s">
        <v>196</v>
      </c>
      <c r="G410" s="9" t="n">
        <v>49</v>
      </c>
      <c r="H410" s="9" t="n">
        <v>0</v>
      </c>
    </row>
    <row r="411" customFormat="false" ht="15" hidden="false" customHeight="false" outlineLevel="0" collapsed="false">
      <c r="A411" s="9" t="n">
        <v>410</v>
      </c>
      <c r="B411" s="9" t="s">
        <v>1375</v>
      </c>
      <c r="C411" s="9" t="n">
        <v>0</v>
      </c>
      <c r="D411" s="9"/>
      <c r="E411" s="9"/>
      <c r="F411" s="9" t="s">
        <v>196</v>
      </c>
      <c r="G411" s="9" t="n">
        <v>4</v>
      </c>
      <c r="H411" s="9" t="n">
        <v>0</v>
      </c>
    </row>
    <row r="412" customFormat="false" ht="15" hidden="false" customHeight="false" outlineLevel="0" collapsed="false">
      <c r="A412" s="9" t="n">
        <v>411</v>
      </c>
      <c r="B412" s="9" t="s">
        <v>1376</v>
      </c>
      <c r="C412" s="9" t="n">
        <v>0</v>
      </c>
      <c r="D412" s="9"/>
      <c r="E412" s="9"/>
      <c r="F412" s="9" t="s">
        <v>196</v>
      </c>
      <c r="G412" s="9" t="n">
        <v>2</v>
      </c>
      <c r="H412" s="9" t="n">
        <v>0</v>
      </c>
    </row>
    <row r="413" customFormat="false" ht="15" hidden="false" customHeight="false" outlineLevel="0" collapsed="false">
      <c r="A413" s="9" t="n">
        <v>412</v>
      </c>
      <c r="B413" s="9" t="s">
        <v>1377</v>
      </c>
      <c r="C413" s="9" t="n">
        <v>0</v>
      </c>
      <c r="D413" s="9"/>
      <c r="E413" s="9"/>
      <c r="F413" s="9" t="s">
        <v>196</v>
      </c>
      <c r="G413" s="9" t="n">
        <v>480</v>
      </c>
      <c r="H413" s="9" t="n">
        <v>0</v>
      </c>
    </row>
    <row r="414" customFormat="false" ht="15" hidden="false" customHeight="false" outlineLevel="0" collapsed="false">
      <c r="A414" s="9" t="n">
        <v>413</v>
      </c>
      <c r="B414" s="9" t="s">
        <v>1378</v>
      </c>
      <c r="C414" s="9" t="n">
        <v>0</v>
      </c>
      <c r="D414" s="9"/>
      <c r="E414" s="9"/>
      <c r="F414" s="9" t="s">
        <v>196</v>
      </c>
      <c r="G414" s="9" t="n">
        <v>88</v>
      </c>
      <c r="H414" s="9" t="n">
        <v>0</v>
      </c>
    </row>
    <row r="415" customFormat="false" ht="15" hidden="false" customHeight="false" outlineLevel="0" collapsed="false">
      <c r="A415" s="9" t="n">
        <v>414</v>
      </c>
      <c r="B415" s="9" t="s">
        <v>1379</v>
      </c>
      <c r="C415" s="9" t="n">
        <v>0</v>
      </c>
      <c r="D415" s="9"/>
      <c r="E415" s="9"/>
      <c r="F415" s="9" t="s">
        <v>196</v>
      </c>
      <c r="G415" s="9" t="n">
        <v>40</v>
      </c>
      <c r="H415" s="9" t="n">
        <v>0</v>
      </c>
    </row>
    <row r="416" customFormat="false" ht="15" hidden="false" customHeight="false" outlineLevel="0" collapsed="false">
      <c r="A416" s="9" t="n">
        <v>415</v>
      </c>
      <c r="B416" s="9" t="s">
        <v>1380</v>
      </c>
      <c r="C416" s="9" t="n">
        <v>0</v>
      </c>
      <c r="D416" s="9"/>
      <c r="E416" s="9"/>
      <c r="F416" s="9" t="s">
        <v>196</v>
      </c>
      <c r="G416" s="9" t="n">
        <v>1</v>
      </c>
      <c r="H416" s="9" t="n">
        <v>0</v>
      </c>
    </row>
    <row r="417" customFormat="false" ht="15" hidden="false" customHeight="false" outlineLevel="0" collapsed="false">
      <c r="A417" s="9" t="n">
        <v>416</v>
      </c>
      <c r="B417" s="9" t="s">
        <v>1381</v>
      </c>
      <c r="C417" s="9" t="n">
        <v>0</v>
      </c>
      <c r="D417" s="9"/>
      <c r="E417" s="9"/>
      <c r="F417" s="9" t="s">
        <v>196</v>
      </c>
      <c r="G417" s="9" t="n">
        <v>3</v>
      </c>
      <c r="H417" s="9" t="n">
        <v>0</v>
      </c>
    </row>
    <row r="418" customFormat="false" ht="15" hidden="false" customHeight="false" outlineLevel="0" collapsed="false">
      <c r="A418" s="9" t="n">
        <v>417</v>
      </c>
      <c r="B418" s="9" t="s">
        <v>1382</v>
      </c>
      <c r="C418" s="9" t="n">
        <v>0</v>
      </c>
      <c r="D418" s="9"/>
      <c r="E418" s="9"/>
      <c r="F418" s="9" t="s">
        <v>196</v>
      </c>
      <c r="G418" s="9" t="n">
        <v>1</v>
      </c>
      <c r="H418" s="9" t="n">
        <v>0</v>
      </c>
    </row>
    <row r="419" customFormat="false" ht="15" hidden="false" customHeight="false" outlineLevel="0" collapsed="false">
      <c r="A419" s="9" t="n">
        <v>418</v>
      </c>
      <c r="B419" s="9" t="s">
        <v>1383</v>
      </c>
      <c r="C419" s="9" t="n">
        <v>0</v>
      </c>
      <c r="D419" s="9"/>
      <c r="E419" s="9"/>
      <c r="F419" s="9" t="s">
        <v>196</v>
      </c>
      <c r="G419" s="9" t="n">
        <v>1</v>
      </c>
      <c r="H419" s="9" t="n">
        <v>0</v>
      </c>
    </row>
    <row r="420" customFormat="false" ht="15" hidden="false" customHeight="false" outlineLevel="0" collapsed="false">
      <c r="A420" s="9" t="n">
        <v>419</v>
      </c>
      <c r="B420" s="9" t="s">
        <v>1384</v>
      </c>
      <c r="C420" s="9" t="n">
        <v>0</v>
      </c>
      <c r="D420" s="9"/>
      <c r="E420" s="9"/>
      <c r="F420" s="9" t="s">
        <v>196</v>
      </c>
      <c r="G420" s="9" t="n">
        <v>2</v>
      </c>
      <c r="H420" s="9" t="n">
        <v>0</v>
      </c>
    </row>
    <row r="421" customFormat="false" ht="15" hidden="false" customHeight="false" outlineLevel="0" collapsed="false">
      <c r="A421" s="9" t="n">
        <v>420</v>
      </c>
      <c r="B421" s="9" t="s">
        <v>1385</v>
      </c>
      <c r="C421" s="9" t="n">
        <v>0</v>
      </c>
      <c r="D421" s="9"/>
      <c r="E421" s="9"/>
      <c r="F421" s="9" t="s">
        <v>196</v>
      </c>
      <c r="G421" s="9" t="n">
        <v>1</v>
      </c>
      <c r="H421" s="9" t="n">
        <v>0</v>
      </c>
    </row>
    <row r="422" customFormat="false" ht="15" hidden="false" customHeight="false" outlineLevel="0" collapsed="false">
      <c r="A422" s="9" t="n">
        <v>421</v>
      </c>
      <c r="B422" s="9" t="s">
        <v>1386</v>
      </c>
      <c r="C422" s="9" t="n">
        <v>0</v>
      </c>
      <c r="D422" s="9"/>
      <c r="E422" s="9"/>
      <c r="F422" s="9" t="s">
        <v>196</v>
      </c>
      <c r="G422" s="9" t="n">
        <v>1</v>
      </c>
      <c r="H422" s="9" t="n">
        <v>50</v>
      </c>
    </row>
    <row r="423" customFormat="false" ht="15" hidden="false" customHeight="false" outlineLevel="0" collapsed="false">
      <c r="A423" s="9" t="n">
        <v>422</v>
      </c>
      <c r="B423" s="9" t="s">
        <v>1387</v>
      </c>
      <c r="C423" s="9" t="n">
        <v>0</v>
      </c>
      <c r="D423" s="9"/>
      <c r="E423" s="9"/>
      <c r="F423" s="9" t="s">
        <v>196</v>
      </c>
      <c r="G423" s="9" t="n">
        <v>2</v>
      </c>
      <c r="H423" s="9" t="n">
        <v>0</v>
      </c>
    </row>
    <row r="424" customFormat="false" ht="15" hidden="false" customHeight="false" outlineLevel="0" collapsed="false">
      <c r="A424" s="9" t="n">
        <v>423</v>
      </c>
      <c r="B424" s="9" t="s">
        <v>1388</v>
      </c>
      <c r="C424" s="9" t="n">
        <v>0</v>
      </c>
      <c r="D424" s="9"/>
      <c r="E424" s="9"/>
      <c r="F424" s="9" t="s">
        <v>196</v>
      </c>
      <c r="G424" s="9" t="n">
        <v>79</v>
      </c>
      <c r="H424" s="9" t="n">
        <v>50</v>
      </c>
    </row>
    <row r="425" customFormat="false" ht="15" hidden="false" customHeight="false" outlineLevel="0" collapsed="false">
      <c r="A425" s="9" t="n">
        <v>424</v>
      </c>
      <c r="B425" s="9" t="s">
        <v>1389</v>
      </c>
      <c r="C425" s="9" t="n">
        <v>0</v>
      </c>
      <c r="D425" s="9"/>
      <c r="E425" s="9"/>
      <c r="F425" s="9" t="s">
        <v>196</v>
      </c>
      <c r="G425" s="9" t="n">
        <v>117</v>
      </c>
      <c r="H425" s="9" t="n">
        <v>50</v>
      </c>
    </row>
    <row r="426" customFormat="false" ht="15" hidden="false" customHeight="false" outlineLevel="0" collapsed="false">
      <c r="A426" s="9" t="n">
        <v>425</v>
      </c>
      <c r="B426" s="9" t="s">
        <v>1390</v>
      </c>
      <c r="C426" s="9" t="n">
        <v>0</v>
      </c>
      <c r="D426" s="9"/>
      <c r="E426" s="9"/>
      <c r="F426" s="9" t="s">
        <v>196</v>
      </c>
      <c r="G426" s="9" t="n">
        <v>1045</v>
      </c>
      <c r="H426" s="9" t="n">
        <v>50</v>
      </c>
    </row>
    <row r="427" customFormat="false" ht="15" hidden="false" customHeight="false" outlineLevel="0" collapsed="false">
      <c r="A427" s="9" t="n">
        <v>426</v>
      </c>
      <c r="B427" s="9" t="s">
        <v>1391</v>
      </c>
      <c r="C427" s="9" t="n">
        <v>0</v>
      </c>
      <c r="D427" s="9"/>
      <c r="E427" s="9"/>
      <c r="F427" s="9" t="s">
        <v>196</v>
      </c>
      <c r="G427" s="9" t="n">
        <v>2</v>
      </c>
      <c r="H427" s="9" t="n">
        <v>0</v>
      </c>
    </row>
    <row r="428" customFormat="false" ht="15" hidden="false" customHeight="false" outlineLevel="0" collapsed="false">
      <c r="A428" s="9" t="n">
        <v>427</v>
      </c>
      <c r="B428" s="9" t="s">
        <v>1392</v>
      </c>
      <c r="C428" s="9" t="n">
        <v>0</v>
      </c>
      <c r="D428" s="9"/>
      <c r="E428" s="9"/>
      <c r="F428" s="9" t="s">
        <v>196</v>
      </c>
      <c r="G428" s="9" t="n">
        <v>1</v>
      </c>
      <c r="H428" s="9" t="n">
        <v>0</v>
      </c>
    </row>
    <row r="429" customFormat="false" ht="15" hidden="false" customHeight="false" outlineLevel="0" collapsed="false">
      <c r="A429" s="9" t="n">
        <v>428</v>
      </c>
      <c r="B429" s="9" t="s">
        <v>1393</v>
      </c>
      <c r="C429" s="9" t="n">
        <v>0</v>
      </c>
      <c r="D429" s="9"/>
      <c r="E429" s="9"/>
      <c r="F429" s="9" t="s">
        <v>196</v>
      </c>
      <c r="G429" s="9" t="n">
        <v>1</v>
      </c>
      <c r="H429" s="9" t="n">
        <v>0</v>
      </c>
    </row>
    <row r="430" customFormat="false" ht="15" hidden="false" customHeight="false" outlineLevel="0" collapsed="false">
      <c r="A430" s="9" t="n">
        <v>429</v>
      </c>
      <c r="B430" s="9" t="s">
        <v>1394</v>
      </c>
      <c r="C430" s="9" t="n">
        <v>0</v>
      </c>
      <c r="D430" s="9"/>
      <c r="E430" s="9"/>
      <c r="F430" s="9" t="s">
        <v>196</v>
      </c>
      <c r="G430" s="9" t="n">
        <v>1</v>
      </c>
      <c r="H430" s="9" t="n">
        <v>0</v>
      </c>
    </row>
    <row r="431" customFormat="false" ht="15" hidden="false" customHeight="false" outlineLevel="0" collapsed="false">
      <c r="A431" s="9" t="n">
        <v>430</v>
      </c>
      <c r="B431" s="9" t="s">
        <v>1395</v>
      </c>
      <c r="C431" s="9" t="n">
        <v>0</v>
      </c>
      <c r="D431" s="9"/>
      <c r="E431" s="9"/>
      <c r="F431" s="9" t="s">
        <v>196</v>
      </c>
      <c r="G431" s="9" t="n">
        <v>1</v>
      </c>
      <c r="H431" s="9" t="n">
        <v>0</v>
      </c>
    </row>
    <row r="432" customFormat="false" ht="15" hidden="false" customHeight="false" outlineLevel="0" collapsed="false">
      <c r="A432" s="9" t="n">
        <v>431</v>
      </c>
      <c r="B432" s="9" t="s">
        <v>1396</v>
      </c>
      <c r="C432" s="9" t="n">
        <v>0</v>
      </c>
      <c r="D432" s="9"/>
      <c r="E432" s="9"/>
      <c r="F432" s="9" t="s">
        <v>196</v>
      </c>
      <c r="G432" s="9" t="n">
        <v>75</v>
      </c>
      <c r="H432" s="9" t="n">
        <v>0</v>
      </c>
    </row>
    <row r="433" customFormat="false" ht="15" hidden="false" customHeight="false" outlineLevel="0" collapsed="false">
      <c r="A433" s="9" t="n">
        <v>432</v>
      </c>
      <c r="B433" s="9" t="s">
        <v>1397</v>
      </c>
      <c r="C433" s="9" t="n">
        <v>0</v>
      </c>
      <c r="D433" s="9"/>
      <c r="E433" s="9"/>
      <c r="F433" s="9" t="s">
        <v>196</v>
      </c>
      <c r="G433" s="9" t="n">
        <v>75</v>
      </c>
      <c r="H433" s="9" t="n">
        <v>0</v>
      </c>
    </row>
    <row r="434" customFormat="false" ht="15" hidden="false" customHeight="false" outlineLevel="0" collapsed="false">
      <c r="A434" s="9" t="n">
        <v>433</v>
      </c>
      <c r="B434" s="9" t="s">
        <v>1398</v>
      </c>
      <c r="C434" s="9" t="n">
        <v>0</v>
      </c>
      <c r="D434" s="9"/>
      <c r="E434" s="9"/>
      <c r="F434" s="9" t="s">
        <v>196</v>
      </c>
      <c r="G434" s="9" t="n">
        <v>2</v>
      </c>
      <c r="H434" s="9" t="n">
        <v>0</v>
      </c>
    </row>
    <row r="435" customFormat="false" ht="15" hidden="false" customHeight="false" outlineLevel="0" collapsed="false">
      <c r="A435" s="9" t="n">
        <v>434</v>
      </c>
      <c r="B435" s="9" t="s">
        <v>1399</v>
      </c>
      <c r="C435" s="9" t="n">
        <v>0</v>
      </c>
      <c r="D435" s="9"/>
      <c r="E435" s="9"/>
      <c r="F435" s="9" t="s">
        <v>196</v>
      </c>
      <c r="G435" s="9" t="n">
        <v>1660</v>
      </c>
      <c r="H435" s="9" t="n">
        <v>0</v>
      </c>
    </row>
    <row r="436" customFormat="false" ht="15" hidden="false" customHeight="false" outlineLevel="0" collapsed="false">
      <c r="A436" s="9" t="n">
        <v>435</v>
      </c>
      <c r="B436" s="9" t="s">
        <v>1400</v>
      </c>
      <c r="C436" s="9" t="n">
        <v>0</v>
      </c>
      <c r="D436" s="9"/>
      <c r="E436" s="9"/>
      <c r="F436" s="9" t="s">
        <v>196</v>
      </c>
      <c r="G436" s="9" t="n">
        <v>2768</v>
      </c>
      <c r="H436" s="9" t="n">
        <v>0</v>
      </c>
    </row>
    <row r="437" customFormat="false" ht="15" hidden="false" customHeight="false" outlineLevel="0" collapsed="false">
      <c r="A437" s="9" t="n">
        <v>436</v>
      </c>
      <c r="B437" s="9" t="s">
        <v>1401</v>
      </c>
      <c r="C437" s="9" t="n">
        <v>0</v>
      </c>
      <c r="D437" s="9"/>
      <c r="E437" s="9"/>
      <c r="F437" s="9" t="s">
        <v>196</v>
      </c>
      <c r="G437" s="9" t="n">
        <v>5</v>
      </c>
      <c r="H437" s="9" t="n">
        <v>0</v>
      </c>
    </row>
    <row r="438" customFormat="false" ht="15" hidden="false" customHeight="false" outlineLevel="0" collapsed="false">
      <c r="A438" s="9" t="n">
        <v>437</v>
      </c>
      <c r="B438" s="9" t="s">
        <v>1402</v>
      </c>
      <c r="C438" s="9" t="n">
        <v>0</v>
      </c>
      <c r="D438" s="9"/>
      <c r="E438" s="9"/>
      <c r="F438" s="9" t="s">
        <v>196</v>
      </c>
      <c r="G438" s="9" t="n">
        <v>42</v>
      </c>
      <c r="H438" s="9" t="n">
        <v>50</v>
      </c>
    </row>
    <row r="439" customFormat="false" ht="15" hidden="false" customHeight="false" outlineLevel="0" collapsed="false">
      <c r="A439" s="9" t="n">
        <v>438</v>
      </c>
      <c r="B439" s="9" t="s">
        <v>1403</v>
      </c>
      <c r="C439" s="9" t="n">
        <v>0</v>
      </c>
      <c r="D439" s="9"/>
      <c r="E439" s="9"/>
      <c r="F439" s="9" t="s">
        <v>196</v>
      </c>
      <c r="G439" s="9" t="n">
        <v>6</v>
      </c>
      <c r="H439" s="9" t="n">
        <v>0</v>
      </c>
    </row>
    <row r="440" customFormat="false" ht="15" hidden="false" customHeight="false" outlineLevel="0" collapsed="false">
      <c r="A440" s="9" t="n">
        <v>439</v>
      </c>
      <c r="B440" s="9" t="s">
        <v>1404</v>
      </c>
      <c r="C440" s="9" t="n">
        <v>0</v>
      </c>
      <c r="D440" s="9"/>
      <c r="E440" s="9"/>
      <c r="F440" s="9" t="s">
        <v>196</v>
      </c>
      <c r="G440" s="9" t="n">
        <v>5</v>
      </c>
      <c r="H440" s="9" t="n">
        <v>0</v>
      </c>
    </row>
    <row r="441" customFormat="false" ht="15" hidden="false" customHeight="false" outlineLevel="0" collapsed="false">
      <c r="A441" s="9" t="n">
        <v>440</v>
      </c>
      <c r="B441" s="9" t="s">
        <v>1405</v>
      </c>
      <c r="C441" s="9" t="n">
        <v>0</v>
      </c>
      <c r="D441" s="9"/>
      <c r="E441" s="9"/>
      <c r="F441" s="9" t="s">
        <v>196</v>
      </c>
      <c r="G441" s="9" t="n">
        <v>5</v>
      </c>
      <c r="H441" s="9" t="n">
        <v>0</v>
      </c>
    </row>
    <row r="442" customFormat="false" ht="15" hidden="false" customHeight="false" outlineLevel="0" collapsed="false">
      <c r="A442" s="9" t="n">
        <v>441</v>
      </c>
      <c r="B442" s="9" t="s">
        <v>1406</v>
      </c>
      <c r="C442" s="9" t="n">
        <v>0</v>
      </c>
      <c r="D442" s="9"/>
      <c r="E442" s="9"/>
      <c r="F442" s="9" t="s">
        <v>196</v>
      </c>
      <c r="G442" s="9" t="n">
        <v>1</v>
      </c>
      <c r="H442" s="9" t="n">
        <v>0</v>
      </c>
    </row>
    <row r="443" customFormat="false" ht="15" hidden="false" customHeight="false" outlineLevel="0" collapsed="false">
      <c r="A443" s="9" t="n">
        <v>442</v>
      </c>
      <c r="B443" s="9" t="s">
        <v>1407</v>
      </c>
      <c r="C443" s="9" t="n">
        <v>0</v>
      </c>
      <c r="D443" s="9"/>
      <c r="E443" s="9"/>
      <c r="F443" s="9" t="s">
        <v>196</v>
      </c>
      <c r="G443" s="9" t="n">
        <v>1</v>
      </c>
      <c r="H443" s="9" t="n">
        <v>0</v>
      </c>
    </row>
    <row r="444" customFormat="false" ht="15" hidden="false" customHeight="false" outlineLevel="0" collapsed="false">
      <c r="A444" s="9" t="n">
        <v>443</v>
      </c>
      <c r="B444" s="9" t="s">
        <v>1408</v>
      </c>
      <c r="C444" s="9" t="n">
        <v>0</v>
      </c>
      <c r="D444" s="9"/>
      <c r="E444" s="9"/>
      <c r="F444" s="9" t="s">
        <v>196</v>
      </c>
      <c r="G444" s="9" t="n">
        <v>9</v>
      </c>
      <c r="H444" s="9" t="n">
        <v>0</v>
      </c>
    </row>
    <row r="445" customFormat="false" ht="15" hidden="false" customHeight="false" outlineLevel="0" collapsed="false">
      <c r="A445" s="9" t="n">
        <v>444</v>
      </c>
      <c r="B445" s="9" t="s">
        <v>1409</v>
      </c>
      <c r="C445" s="9" t="n">
        <v>0</v>
      </c>
      <c r="D445" s="9"/>
      <c r="E445" s="9"/>
      <c r="F445" s="9" t="s">
        <v>196</v>
      </c>
      <c r="G445" s="9" t="n">
        <v>1</v>
      </c>
      <c r="H445" s="9" t="n">
        <v>0</v>
      </c>
    </row>
    <row r="446" customFormat="false" ht="15" hidden="false" customHeight="false" outlineLevel="0" collapsed="false">
      <c r="A446" s="9" t="n">
        <v>445</v>
      </c>
      <c r="B446" s="9" t="s">
        <v>1410</v>
      </c>
      <c r="C446" s="9" t="n">
        <v>0</v>
      </c>
      <c r="D446" s="9"/>
      <c r="E446" s="9"/>
      <c r="F446" s="9" t="s">
        <v>196</v>
      </c>
      <c r="G446" s="9" t="n">
        <v>273</v>
      </c>
      <c r="H446" s="9" t="n">
        <v>50</v>
      </c>
    </row>
    <row r="447" customFormat="false" ht="15" hidden="false" customHeight="false" outlineLevel="0" collapsed="false">
      <c r="A447" s="9" t="n">
        <v>446</v>
      </c>
      <c r="B447" s="9" t="s">
        <v>1411</v>
      </c>
      <c r="C447" s="9" t="n">
        <v>0</v>
      </c>
      <c r="D447" s="9"/>
      <c r="E447" s="9"/>
      <c r="F447" s="9" t="s">
        <v>196</v>
      </c>
      <c r="G447" s="9" t="n">
        <v>198</v>
      </c>
      <c r="H447" s="9" t="n">
        <v>50</v>
      </c>
    </row>
    <row r="448" customFormat="false" ht="15" hidden="false" customHeight="false" outlineLevel="0" collapsed="false">
      <c r="A448" s="9" t="n">
        <v>447</v>
      </c>
      <c r="B448" s="9" t="s">
        <v>1412</v>
      </c>
      <c r="C448" s="9" t="n">
        <v>0</v>
      </c>
      <c r="D448" s="9"/>
      <c r="E448" s="9"/>
      <c r="F448" s="9" t="s">
        <v>196</v>
      </c>
      <c r="G448" s="9" t="n">
        <v>374</v>
      </c>
      <c r="H448" s="9" t="n">
        <v>50</v>
      </c>
    </row>
    <row r="449" customFormat="false" ht="15" hidden="false" customHeight="false" outlineLevel="0" collapsed="false">
      <c r="A449" s="9" t="n">
        <v>448</v>
      </c>
      <c r="B449" s="9" t="s">
        <v>1413</v>
      </c>
      <c r="C449" s="9" t="n">
        <v>0</v>
      </c>
      <c r="D449" s="9"/>
      <c r="E449" s="9"/>
      <c r="F449" s="9" t="s">
        <v>196</v>
      </c>
      <c r="G449" s="9" t="n">
        <v>397</v>
      </c>
      <c r="H449" s="9" t="n">
        <v>0</v>
      </c>
    </row>
    <row r="450" customFormat="false" ht="15" hidden="false" customHeight="false" outlineLevel="0" collapsed="false">
      <c r="A450" s="9" t="n">
        <v>449</v>
      </c>
      <c r="B450" s="9" t="s">
        <v>1414</v>
      </c>
      <c r="C450" s="9" t="n">
        <v>0</v>
      </c>
      <c r="D450" s="9"/>
      <c r="E450" s="9"/>
      <c r="F450" s="9" t="s">
        <v>196</v>
      </c>
      <c r="G450" s="9" t="n">
        <v>399</v>
      </c>
      <c r="H450" s="9" t="n">
        <v>0</v>
      </c>
    </row>
    <row r="451" customFormat="false" ht="15" hidden="false" customHeight="false" outlineLevel="0" collapsed="false">
      <c r="A451" s="9" t="n">
        <v>450</v>
      </c>
      <c r="B451" s="9" t="s">
        <v>1415</v>
      </c>
      <c r="C451" s="9" t="n">
        <v>0</v>
      </c>
      <c r="D451" s="9"/>
      <c r="E451" s="9"/>
      <c r="F451" s="9" t="s">
        <v>196</v>
      </c>
      <c r="G451" s="9" t="n">
        <v>193</v>
      </c>
      <c r="H451" s="9" t="n">
        <v>50</v>
      </c>
    </row>
    <row r="452" customFormat="false" ht="15" hidden="false" customHeight="false" outlineLevel="0" collapsed="false">
      <c r="A452" s="9" t="n">
        <v>451</v>
      </c>
      <c r="B452" s="9" t="s">
        <v>1416</v>
      </c>
      <c r="C452" s="9" t="n">
        <v>0</v>
      </c>
      <c r="D452" s="9"/>
      <c r="E452" s="9"/>
      <c r="F452" s="9" t="s">
        <v>196</v>
      </c>
      <c r="G452" s="9" t="n">
        <v>198</v>
      </c>
      <c r="H452" s="9" t="n">
        <v>0</v>
      </c>
    </row>
    <row r="453" customFormat="false" ht="15" hidden="false" customHeight="false" outlineLevel="0" collapsed="false">
      <c r="A453" s="9" t="n">
        <v>452</v>
      </c>
      <c r="B453" s="9" t="s">
        <v>1417</v>
      </c>
      <c r="C453" s="9" t="n">
        <v>0</v>
      </c>
      <c r="D453" s="9"/>
      <c r="E453" s="9"/>
      <c r="F453" s="9" t="s">
        <v>196</v>
      </c>
      <c r="G453" s="9" t="n">
        <v>199</v>
      </c>
      <c r="H453" s="9" t="n">
        <v>0</v>
      </c>
    </row>
    <row r="454" customFormat="false" ht="15" hidden="false" customHeight="false" outlineLevel="0" collapsed="false">
      <c r="A454" s="9" t="n">
        <v>453</v>
      </c>
      <c r="B454" s="9" t="s">
        <v>1418</v>
      </c>
      <c r="C454" s="9" t="n">
        <v>0</v>
      </c>
      <c r="D454" s="9"/>
      <c r="E454" s="9"/>
      <c r="F454" s="9" t="s">
        <v>196</v>
      </c>
      <c r="G454" s="9" t="n">
        <v>193</v>
      </c>
      <c r="H454" s="9" t="n">
        <v>0</v>
      </c>
    </row>
    <row r="455" customFormat="false" ht="15" hidden="false" customHeight="false" outlineLevel="0" collapsed="false">
      <c r="A455" s="9" t="n">
        <v>454</v>
      </c>
      <c r="B455" s="9" t="s">
        <v>1419</v>
      </c>
      <c r="C455" s="9" t="n">
        <v>0</v>
      </c>
      <c r="D455" s="9"/>
      <c r="E455" s="9"/>
      <c r="F455" s="9" t="s">
        <v>196</v>
      </c>
      <c r="G455" s="9" t="n">
        <v>194</v>
      </c>
      <c r="H455" s="9" t="n">
        <v>0</v>
      </c>
    </row>
    <row r="456" customFormat="false" ht="15" hidden="false" customHeight="false" outlineLevel="0" collapsed="false">
      <c r="A456" s="9" t="n">
        <v>455</v>
      </c>
      <c r="B456" s="9" t="s">
        <v>1420</v>
      </c>
      <c r="C456" s="9" t="n">
        <v>0</v>
      </c>
      <c r="D456" s="9"/>
      <c r="E456" s="9"/>
      <c r="F456" s="9" t="s">
        <v>196</v>
      </c>
      <c r="G456" s="9" t="n">
        <v>199</v>
      </c>
      <c r="H456" s="9" t="n">
        <v>0</v>
      </c>
    </row>
    <row r="457" customFormat="false" ht="15" hidden="false" customHeight="false" outlineLevel="0" collapsed="false">
      <c r="A457" s="9" t="n">
        <v>456</v>
      </c>
      <c r="B457" s="9" t="s">
        <v>1421</v>
      </c>
      <c r="C457" s="9" t="n">
        <v>0</v>
      </c>
      <c r="D457" s="9"/>
      <c r="E457" s="9"/>
      <c r="F457" s="9" t="s">
        <v>196</v>
      </c>
      <c r="G457" s="9" t="n">
        <v>659</v>
      </c>
      <c r="H457" s="9" t="n">
        <v>0</v>
      </c>
    </row>
    <row r="458" customFormat="false" ht="15" hidden="false" customHeight="false" outlineLevel="0" collapsed="false">
      <c r="A458" s="9" t="n">
        <v>457</v>
      </c>
      <c r="B458" s="9" t="s">
        <v>1422</v>
      </c>
      <c r="C458" s="9" t="n">
        <v>0</v>
      </c>
      <c r="D458" s="9"/>
      <c r="E458" s="9"/>
      <c r="F458" s="9" t="s">
        <v>196</v>
      </c>
      <c r="G458" s="9" t="n">
        <v>2</v>
      </c>
      <c r="H458" s="9" t="n">
        <v>0</v>
      </c>
    </row>
    <row r="459" customFormat="false" ht="15" hidden="false" customHeight="false" outlineLevel="0" collapsed="false">
      <c r="A459" s="9" t="n">
        <v>458</v>
      </c>
      <c r="B459" s="9" t="s">
        <v>1423</v>
      </c>
      <c r="C459" s="9" t="n">
        <v>0</v>
      </c>
      <c r="D459" s="9"/>
      <c r="E459" s="9"/>
      <c r="F459" s="9" t="s">
        <v>196</v>
      </c>
      <c r="G459" s="9" t="n">
        <v>2</v>
      </c>
      <c r="H459" s="9" t="n">
        <v>0</v>
      </c>
    </row>
    <row r="460" customFormat="false" ht="15" hidden="false" customHeight="false" outlineLevel="0" collapsed="false">
      <c r="A460" s="9" t="n">
        <v>459</v>
      </c>
      <c r="B460" s="9" t="s">
        <v>1424</v>
      </c>
      <c r="C460" s="9" t="n">
        <v>0</v>
      </c>
      <c r="D460" s="9"/>
      <c r="E460" s="9"/>
      <c r="F460" s="9" t="s">
        <v>196</v>
      </c>
      <c r="G460" s="9" t="n">
        <v>2000</v>
      </c>
      <c r="H460" s="9" t="n">
        <v>0</v>
      </c>
    </row>
    <row r="461" customFormat="false" ht="15" hidden="false" customHeight="false" outlineLevel="0" collapsed="false">
      <c r="A461" s="9" t="n">
        <v>460</v>
      </c>
      <c r="B461" s="9" t="s">
        <v>1425</v>
      </c>
      <c r="C461" s="9" t="n">
        <v>0</v>
      </c>
      <c r="D461" s="9"/>
      <c r="E461" s="9"/>
      <c r="F461" s="9" t="s">
        <v>196</v>
      </c>
      <c r="G461" s="9" t="n">
        <v>1</v>
      </c>
      <c r="H461" s="9" t="n">
        <v>0</v>
      </c>
    </row>
    <row r="462" customFormat="false" ht="15" hidden="false" customHeight="false" outlineLevel="0" collapsed="false">
      <c r="A462" s="9" t="n">
        <v>461</v>
      </c>
      <c r="B462" s="9" t="s">
        <v>1426</v>
      </c>
      <c r="C462" s="9" t="n">
        <v>0</v>
      </c>
      <c r="D462" s="9"/>
      <c r="E462" s="9"/>
      <c r="F462" s="9" t="s">
        <v>196</v>
      </c>
      <c r="G462" s="9" t="n">
        <v>193</v>
      </c>
      <c r="H462" s="9" t="n">
        <v>0</v>
      </c>
    </row>
    <row r="463" customFormat="false" ht="15" hidden="false" customHeight="false" outlineLevel="0" collapsed="false">
      <c r="A463" s="9" t="n">
        <v>462</v>
      </c>
      <c r="B463" s="9" t="s">
        <v>1427</v>
      </c>
      <c r="C463" s="9" t="n">
        <v>0</v>
      </c>
      <c r="D463" s="9"/>
      <c r="E463" s="9"/>
      <c r="F463" s="9" t="s">
        <v>196</v>
      </c>
      <c r="G463" s="9" t="n">
        <v>1</v>
      </c>
      <c r="H463" s="9" t="n">
        <v>50</v>
      </c>
    </row>
    <row r="464" customFormat="false" ht="15" hidden="false" customHeight="false" outlineLevel="0" collapsed="false">
      <c r="A464" s="9" t="n">
        <v>463</v>
      </c>
      <c r="B464" s="9" t="s">
        <v>1428</v>
      </c>
      <c r="C464" s="9" t="n">
        <v>0</v>
      </c>
      <c r="D464" s="9"/>
      <c r="E464" s="9"/>
      <c r="F464" s="9" t="s">
        <v>196</v>
      </c>
      <c r="G464" s="9" t="n">
        <v>37</v>
      </c>
      <c r="H464" s="9" t="n">
        <v>50</v>
      </c>
    </row>
    <row r="465" customFormat="false" ht="15" hidden="false" customHeight="false" outlineLevel="0" collapsed="false">
      <c r="A465" s="9" t="n">
        <v>464</v>
      </c>
      <c r="B465" s="9" t="s">
        <v>1429</v>
      </c>
      <c r="C465" s="9" t="n">
        <v>0</v>
      </c>
      <c r="D465" s="9"/>
      <c r="E465" s="9"/>
      <c r="F465" s="9" t="s">
        <v>196</v>
      </c>
      <c r="G465" s="9" t="n">
        <v>2</v>
      </c>
      <c r="H465" s="9" t="n">
        <v>0</v>
      </c>
    </row>
    <row r="466" customFormat="false" ht="15" hidden="false" customHeight="false" outlineLevel="0" collapsed="false">
      <c r="A466" s="9" t="n">
        <v>465</v>
      </c>
      <c r="B466" s="9" t="s">
        <v>1430</v>
      </c>
      <c r="C466" s="9" t="n">
        <v>0</v>
      </c>
      <c r="D466" s="9"/>
      <c r="E466" s="9"/>
      <c r="F466" s="9" t="s">
        <v>196</v>
      </c>
      <c r="G466" s="9" t="n">
        <v>159</v>
      </c>
      <c r="H466" s="9" t="n">
        <v>0</v>
      </c>
    </row>
    <row r="467" customFormat="false" ht="15" hidden="false" customHeight="false" outlineLevel="0" collapsed="false">
      <c r="A467" s="9" t="n">
        <v>466</v>
      </c>
      <c r="B467" s="9" t="s">
        <v>1431</v>
      </c>
      <c r="C467" s="9" t="n">
        <v>0</v>
      </c>
      <c r="D467" s="9"/>
      <c r="E467" s="9"/>
      <c r="F467" s="9" t="s">
        <v>196</v>
      </c>
      <c r="G467" s="9" t="n">
        <v>91</v>
      </c>
      <c r="H467" s="9" t="n">
        <v>50</v>
      </c>
    </row>
    <row r="468" customFormat="false" ht="15" hidden="false" customHeight="false" outlineLevel="0" collapsed="false">
      <c r="A468" s="9" t="n">
        <v>467</v>
      </c>
      <c r="B468" s="9" t="s">
        <v>1432</v>
      </c>
      <c r="C468" s="9" t="n">
        <v>0</v>
      </c>
      <c r="D468" s="9"/>
      <c r="E468" s="9"/>
      <c r="F468" s="9" t="s">
        <v>196</v>
      </c>
      <c r="G468" s="9" t="n">
        <v>276</v>
      </c>
      <c r="H468" s="9" t="n">
        <v>0</v>
      </c>
    </row>
    <row r="469" customFormat="false" ht="15" hidden="false" customHeight="false" outlineLevel="0" collapsed="false">
      <c r="A469" s="9" t="n">
        <v>468</v>
      </c>
      <c r="B469" s="9" t="s">
        <v>1433</v>
      </c>
      <c r="C469" s="9" t="n">
        <v>0</v>
      </c>
      <c r="D469" s="9"/>
      <c r="E469" s="9"/>
      <c r="F469" s="9" t="s">
        <v>196</v>
      </c>
      <c r="G469" s="9" t="n">
        <v>100</v>
      </c>
      <c r="H469" s="9" t="n">
        <v>50</v>
      </c>
    </row>
    <row r="470" customFormat="false" ht="15" hidden="false" customHeight="false" outlineLevel="0" collapsed="false">
      <c r="A470" s="9" t="n">
        <v>469</v>
      </c>
      <c r="B470" s="9" t="s">
        <v>1434</v>
      </c>
      <c r="C470" s="9" t="n">
        <v>0</v>
      </c>
      <c r="D470" s="9"/>
      <c r="E470" s="9"/>
      <c r="F470" s="9" t="s">
        <v>196</v>
      </c>
      <c r="G470" s="9" t="n">
        <v>198</v>
      </c>
      <c r="H470" s="9" t="n">
        <v>0</v>
      </c>
    </row>
    <row r="471" customFormat="false" ht="15" hidden="false" customHeight="false" outlineLevel="0" collapsed="false">
      <c r="A471" s="9" t="n">
        <v>470</v>
      </c>
      <c r="B471" s="9" t="s">
        <v>1435</v>
      </c>
      <c r="C471" s="9" t="n">
        <v>0</v>
      </c>
      <c r="D471" s="9"/>
      <c r="E471" s="9"/>
      <c r="F471" s="9" t="s">
        <v>196</v>
      </c>
      <c r="G471" s="9" t="n">
        <v>500</v>
      </c>
      <c r="H471" s="9" t="n">
        <v>0</v>
      </c>
    </row>
    <row r="472" customFormat="false" ht="15" hidden="false" customHeight="false" outlineLevel="0" collapsed="false">
      <c r="A472" s="9" t="n">
        <v>471</v>
      </c>
      <c r="B472" s="9" t="s">
        <v>1436</v>
      </c>
      <c r="C472" s="9" t="n">
        <v>0</v>
      </c>
      <c r="D472" s="9"/>
      <c r="E472" s="9"/>
      <c r="F472" s="9" t="s">
        <v>196</v>
      </c>
      <c r="G472" s="9" t="n">
        <v>248</v>
      </c>
      <c r="H472" s="9" t="n">
        <v>50</v>
      </c>
    </row>
    <row r="473" customFormat="false" ht="15" hidden="false" customHeight="false" outlineLevel="0" collapsed="false">
      <c r="A473" s="9" t="n">
        <v>472</v>
      </c>
      <c r="B473" s="9" t="s">
        <v>1437</v>
      </c>
      <c r="C473" s="9" t="n">
        <v>0</v>
      </c>
      <c r="D473" s="9"/>
      <c r="E473" s="9"/>
      <c r="F473" s="9" t="s">
        <v>196</v>
      </c>
      <c r="G473" s="9" t="n">
        <v>221</v>
      </c>
      <c r="H473" s="9" t="n">
        <v>0</v>
      </c>
    </row>
    <row r="474" customFormat="false" ht="15" hidden="false" customHeight="false" outlineLevel="0" collapsed="false">
      <c r="A474" s="9" t="n">
        <v>473</v>
      </c>
      <c r="B474" s="9" t="s">
        <v>1438</v>
      </c>
      <c r="C474" s="9" t="n">
        <v>0</v>
      </c>
      <c r="D474" s="9"/>
      <c r="E474" s="9"/>
      <c r="F474" s="9" t="s">
        <v>196</v>
      </c>
      <c r="G474" s="9" t="n">
        <v>624</v>
      </c>
      <c r="H474" s="9" t="n">
        <v>0</v>
      </c>
    </row>
    <row r="475" customFormat="false" ht="15" hidden="false" customHeight="false" outlineLevel="0" collapsed="false">
      <c r="A475" s="9" t="n">
        <v>474</v>
      </c>
      <c r="B475" s="9" t="s">
        <v>1439</v>
      </c>
      <c r="C475" s="9" t="n">
        <v>0</v>
      </c>
      <c r="D475" s="9"/>
      <c r="E475" s="9"/>
      <c r="F475" s="9" t="s">
        <v>196</v>
      </c>
      <c r="G475" s="9" t="n">
        <v>593</v>
      </c>
      <c r="H475" s="9" t="n">
        <v>0</v>
      </c>
    </row>
    <row r="476" customFormat="false" ht="15" hidden="false" customHeight="false" outlineLevel="0" collapsed="false">
      <c r="A476" s="9" t="n">
        <v>475</v>
      </c>
      <c r="B476" s="9" t="s">
        <v>1440</v>
      </c>
      <c r="C476" s="9" t="n">
        <v>0</v>
      </c>
      <c r="D476" s="9"/>
      <c r="E476" s="9"/>
      <c r="F476" s="9" t="s">
        <v>196</v>
      </c>
      <c r="G476" s="9" t="n">
        <v>2030</v>
      </c>
      <c r="H476" s="9" t="n">
        <v>0</v>
      </c>
    </row>
    <row r="477" customFormat="false" ht="15" hidden="false" customHeight="false" outlineLevel="0" collapsed="false">
      <c r="A477" s="9" t="n">
        <v>476</v>
      </c>
      <c r="B477" s="9" t="s">
        <v>1441</v>
      </c>
      <c r="C477" s="9" t="n">
        <v>0</v>
      </c>
      <c r="D477" s="9"/>
      <c r="E477" s="9"/>
      <c r="F477" s="9" t="s">
        <v>196</v>
      </c>
      <c r="G477" s="9" t="n">
        <v>377</v>
      </c>
      <c r="H477" s="9" t="n">
        <v>0</v>
      </c>
    </row>
    <row r="478" customFormat="false" ht="15" hidden="false" customHeight="false" outlineLevel="0" collapsed="false">
      <c r="A478" s="9" t="n">
        <v>477</v>
      </c>
      <c r="B478" s="9" t="s">
        <v>1442</v>
      </c>
      <c r="C478" s="9" t="n">
        <v>0</v>
      </c>
      <c r="D478" s="9"/>
      <c r="E478" s="9"/>
      <c r="F478" s="9" t="s">
        <v>196</v>
      </c>
      <c r="G478" s="9" t="n">
        <v>402</v>
      </c>
      <c r="H478" s="9" t="n">
        <v>0</v>
      </c>
    </row>
    <row r="479" customFormat="false" ht="15" hidden="false" customHeight="false" outlineLevel="0" collapsed="false">
      <c r="A479" s="9" t="n">
        <v>478</v>
      </c>
      <c r="B479" s="9" t="s">
        <v>1443</v>
      </c>
      <c r="C479" s="9" t="n">
        <v>0</v>
      </c>
      <c r="D479" s="9"/>
      <c r="E479" s="9"/>
      <c r="F479" s="9" t="s">
        <v>196</v>
      </c>
      <c r="G479" s="9" t="n">
        <v>341</v>
      </c>
      <c r="H479" s="9" t="n">
        <v>0</v>
      </c>
    </row>
    <row r="480" customFormat="false" ht="15" hidden="false" customHeight="false" outlineLevel="0" collapsed="false">
      <c r="A480" s="9" t="n">
        <v>479</v>
      </c>
      <c r="B480" s="9" t="s">
        <v>1444</v>
      </c>
      <c r="C480" s="9" t="n">
        <v>0</v>
      </c>
      <c r="D480" s="9"/>
      <c r="E480" s="9"/>
      <c r="F480" s="9" t="s">
        <v>196</v>
      </c>
      <c r="G480" s="9" t="n">
        <v>8</v>
      </c>
      <c r="H480" s="9" t="n">
        <v>50</v>
      </c>
    </row>
    <row r="481" customFormat="false" ht="15" hidden="false" customHeight="false" outlineLevel="0" collapsed="false">
      <c r="A481" s="9" t="n">
        <v>480</v>
      </c>
      <c r="B481" s="9" t="s">
        <v>1445</v>
      </c>
      <c r="C481" s="9" t="n">
        <v>0</v>
      </c>
      <c r="D481" s="9"/>
      <c r="E481" s="9"/>
      <c r="F481" s="9" t="s">
        <v>196</v>
      </c>
      <c r="G481" s="9" t="n">
        <v>15</v>
      </c>
      <c r="H481" s="9" t="n">
        <v>50</v>
      </c>
    </row>
    <row r="482" customFormat="false" ht="15" hidden="false" customHeight="false" outlineLevel="0" collapsed="false">
      <c r="A482" s="9" t="n">
        <v>481</v>
      </c>
      <c r="B482" s="9" t="s">
        <v>1446</v>
      </c>
      <c r="C482" s="9" t="n">
        <v>0</v>
      </c>
      <c r="D482" s="9"/>
      <c r="E482" s="9"/>
      <c r="F482" s="9" t="s">
        <v>196</v>
      </c>
      <c r="G482" s="9" t="n">
        <v>1</v>
      </c>
      <c r="H482" s="9" t="n">
        <v>0</v>
      </c>
    </row>
    <row r="483" customFormat="false" ht="15" hidden="false" customHeight="false" outlineLevel="0" collapsed="false">
      <c r="A483" s="9" t="n">
        <v>482</v>
      </c>
      <c r="B483" s="9" t="s">
        <v>1447</v>
      </c>
      <c r="C483" s="9" t="n">
        <v>0</v>
      </c>
      <c r="D483" s="9"/>
      <c r="E483" s="9"/>
      <c r="F483" s="9" t="s">
        <v>196</v>
      </c>
      <c r="G483" s="9" t="n">
        <v>11</v>
      </c>
      <c r="H483" s="9" t="n">
        <v>0</v>
      </c>
    </row>
    <row r="484" customFormat="false" ht="15" hidden="false" customHeight="false" outlineLevel="0" collapsed="false">
      <c r="A484" s="9" t="n">
        <v>483</v>
      </c>
      <c r="B484" s="9" t="s">
        <v>1448</v>
      </c>
      <c r="C484" s="9" t="n">
        <v>0</v>
      </c>
      <c r="D484" s="9"/>
      <c r="E484" s="9"/>
      <c r="F484" s="9" t="s">
        <v>196</v>
      </c>
      <c r="G484" s="9" t="n">
        <v>3</v>
      </c>
      <c r="H484" s="9" t="n">
        <v>0</v>
      </c>
    </row>
    <row r="485" customFormat="false" ht="15" hidden="false" customHeight="false" outlineLevel="0" collapsed="false">
      <c r="A485" s="9" t="n">
        <v>484</v>
      </c>
      <c r="B485" s="9" t="s">
        <v>1449</v>
      </c>
      <c r="C485" s="9" t="n">
        <v>0</v>
      </c>
      <c r="D485" s="9"/>
      <c r="E485" s="9"/>
      <c r="F485" s="9" t="s">
        <v>196</v>
      </c>
      <c r="G485" s="9" t="n">
        <v>30</v>
      </c>
      <c r="H485" s="9" t="n">
        <v>0</v>
      </c>
    </row>
    <row r="486" customFormat="false" ht="15" hidden="false" customHeight="false" outlineLevel="0" collapsed="false">
      <c r="A486" s="9" t="n">
        <v>485</v>
      </c>
      <c r="B486" s="9" t="s">
        <v>1450</v>
      </c>
      <c r="C486" s="9" t="n">
        <v>0</v>
      </c>
      <c r="D486" s="9"/>
      <c r="E486" s="9"/>
      <c r="F486" s="9" t="s">
        <v>196</v>
      </c>
      <c r="G486" s="9" t="n">
        <v>3</v>
      </c>
      <c r="H486" s="9" t="n">
        <v>0</v>
      </c>
    </row>
    <row r="487" customFormat="false" ht="15" hidden="false" customHeight="false" outlineLevel="0" collapsed="false">
      <c r="A487" s="9" t="n">
        <v>486</v>
      </c>
      <c r="B487" s="9" t="s">
        <v>1451</v>
      </c>
      <c r="C487" s="9" t="n">
        <v>0</v>
      </c>
      <c r="D487" s="9"/>
      <c r="E487" s="9"/>
      <c r="F487" s="9" t="s">
        <v>196</v>
      </c>
      <c r="G487" s="9" t="n">
        <v>2</v>
      </c>
      <c r="H487" s="9" t="n">
        <v>0</v>
      </c>
    </row>
    <row r="488" customFormat="false" ht="15" hidden="false" customHeight="false" outlineLevel="0" collapsed="false">
      <c r="A488" s="9" t="n">
        <v>487</v>
      </c>
      <c r="B488" s="9" t="s">
        <v>1452</v>
      </c>
      <c r="C488" s="9" t="n">
        <v>0</v>
      </c>
      <c r="D488" s="9"/>
      <c r="E488" s="9"/>
      <c r="F488" s="9" t="s">
        <v>196</v>
      </c>
      <c r="G488" s="9" t="n">
        <v>1</v>
      </c>
      <c r="H488" s="9" t="n">
        <v>0</v>
      </c>
    </row>
    <row r="489" customFormat="false" ht="15" hidden="false" customHeight="false" outlineLevel="0" collapsed="false">
      <c r="A489" s="9" t="n">
        <v>488</v>
      </c>
      <c r="B489" s="9" t="s">
        <v>1453</v>
      </c>
      <c r="C489" s="9" t="n">
        <v>0</v>
      </c>
      <c r="D489" s="9"/>
      <c r="E489" s="9"/>
      <c r="F489" s="9" t="s">
        <v>196</v>
      </c>
      <c r="G489" s="9" t="n">
        <v>7</v>
      </c>
      <c r="H489" s="9" t="n">
        <v>0</v>
      </c>
    </row>
    <row r="490" customFormat="false" ht="15" hidden="false" customHeight="false" outlineLevel="0" collapsed="false">
      <c r="A490" s="9" t="n">
        <v>489</v>
      </c>
      <c r="B490" s="9" t="s">
        <v>1454</v>
      </c>
      <c r="C490" s="9" t="n">
        <v>0</v>
      </c>
      <c r="D490" s="9"/>
      <c r="E490" s="9"/>
      <c r="F490" s="9" t="s">
        <v>196</v>
      </c>
      <c r="G490" s="9" t="n">
        <v>6031</v>
      </c>
      <c r="H490" s="9" t="n">
        <v>50</v>
      </c>
    </row>
    <row r="491" customFormat="false" ht="15" hidden="false" customHeight="false" outlineLevel="0" collapsed="false">
      <c r="A491" s="9" t="n">
        <v>490</v>
      </c>
      <c r="B491" s="9" t="s">
        <v>1455</v>
      </c>
      <c r="C491" s="9" t="n">
        <v>0</v>
      </c>
      <c r="D491" s="9"/>
      <c r="E491" s="9"/>
      <c r="F491" s="9" t="s">
        <v>196</v>
      </c>
      <c r="G491" s="9" t="n">
        <v>3017</v>
      </c>
      <c r="H491" s="9" t="n">
        <v>0</v>
      </c>
    </row>
    <row r="492" customFormat="false" ht="15" hidden="false" customHeight="false" outlineLevel="0" collapsed="false">
      <c r="A492" s="9" t="n">
        <v>491</v>
      </c>
      <c r="B492" s="9" t="s">
        <v>1456</v>
      </c>
      <c r="C492" s="9" t="n">
        <v>0</v>
      </c>
      <c r="D492" s="9"/>
      <c r="E492" s="9"/>
      <c r="F492" s="9" t="s">
        <v>196</v>
      </c>
      <c r="G492" s="9" t="n">
        <v>1</v>
      </c>
      <c r="H492" s="9" t="n">
        <v>0</v>
      </c>
    </row>
    <row r="493" customFormat="false" ht="15" hidden="false" customHeight="false" outlineLevel="0" collapsed="false">
      <c r="A493" s="9" t="n">
        <v>492</v>
      </c>
      <c r="B493" s="9" t="s">
        <v>1457</v>
      </c>
      <c r="C493" s="9" t="n">
        <v>0</v>
      </c>
      <c r="D493" s="9"/>
      <c r="E493" s="9"/>
      <c r="F493" s="9" t="s">
        <v>196</v>
      </c>
      <c r="G493" s="9" t="n">
        <v>2</v>
      </c>
      <c r="H493" s="9" t="n">
        <v>0</v>
      </c>
    </row>
    <row r="494" customFormat="false" ht="15" hidden="false" customHeight="false" outlineLevel="0" collapsed="false">
      <c r="A494" s="9" t="n">
        <v>493</v>
      </c>
      <c r="B494" s="9" t="s">
        <v>1458</v>
      </c>
      <c r="C494" s="9" t="n">
        <v>0</v>
      </c>
      <c r="D494" s="9"/>
      <c r="E494" s="9"/>
      <c r="F494" s="9" t="s">
        <v>196</v>
      </c>
      <c r="G494" s="9" t="n">
        <v>2</v>
      </c>
      <c r="H494" s="9" t="n">
        <v>50</v>
      </c>
    </row>
    <row r="495" customFormat="false" ht="15" hidden="false" customHeight="false" outlineLevel="0" collapsed="false">
      <c r="A495" s="9" t="n">
        <v>494</v>
      </c>
      <c r="B495" s="9" t="s">
        <v>1459</v>
      </c>
      <c r="C495" s="9" t="n">
        <v>0</v>
      </c>
      <c r="D495" s="9"/>
      <c r="E495" s="9"/>
      <c r="F495" s="9" t="s">
        <v>196</v>
      </c>
      <c r="G495" s="9" t="n">
        <v>4</v>
      </c>
      <c r="H495" s="9" t="n">
        <v>0</v>
      </c>
    </row>
    <row r="496" customFormat="false" ht="15" hidden="false" customHeight="false" outlineLevel="0" collapsed="false">
      <c r="A496" s="9" t="n">
        <v>495</v>
      </c>
      <c r="B496" s="9" t="s">
        <v>1460</v>
      </c>
      <c r="C496" s="9" t="n">
        <v>0</v>
      </c>
      <c r="D496" s="9"/>
      <c r="E496" s="9"/>
      <c r="F496" s="9" t="s">
        <v>196</v>
      </c>
      <c r="G496" s="9" t="n">
        <v>3</v>
      </c>
      <c r="H496" s="9" t="n">
        <v>50</v>
      </c>
    </row>
    <row r="497" customFormat="false" ht="15" hidden="false" customHeight="false" outlineLevel="0" collapsed="false">
      <c r="A497" s="9" t="n">
        <v>496</v>
      </c>
      <c r="B497" s="9" t="s">
        <v>1461</v>
      </c>
      <c r="C497" s="9" t="n">
        <v>0</v>
      </c>
      <c r="D497" s="9"/>
      <c r="E497" s="9"/>
      <c r="F497" s="9" t="s">
        <v>196</v>
      </c>
      <c r="G497" s="9" t="n">
        <v>3</v>
      </c>
      <c r="H497" s="9" t="n">
        <v>50</v>
      </c>
    </row>
    <row r="498" customFormat="false" ht="15" hidden="false" customHeight="false" outlineLevel="0" collapsed="false">
      <c r="A498" s="9" t="n">
        <v>497</v>
      </c>
      <c r="B498" s="9" t="s">
        <v>1462</v>
      </c>
      <c r="C498" s="9" t="n">
        <v>0</v>
      </c>
      <c r="D498" s="9"/>
      <c r="E498" s="9"/>
      <c r="F498" s="9" t="s">
        <v>196</v>
      </c>
      <c r="G498" s="9" t="n">
        <v>26</v>
      </c>
      <c r="H498" s="9" t="n">
        <v>0</v>
      </c>
    </row>
    <row r="499" customFormat="false" ht="15" hidden="false" customHeight="false" outlineLevel="0" collapsed="false">
      <c r="A499" s="9" t="n">
        <v>498</v>
      </c>
      <c r="B499" s="9" t="s">
        <v>1463</v>
      </c>
      <c r="C499" s="9" t="n">
        <v>0</v>
      </c>
      <c r="D499" s="9"/>
      <c r="E499" s="9"/>
      <c r="F499" s="9" t="s">
        <v>196</v>
      </c>
      <c r="G499" s="9" t="n">
        <v>14600</v>
      </c>
      <c r="H499" s="9" t="n">
        <v>0</v>
      </c>
    </row>
    <row r="500" customFormat="false" ht="15" hidden="false" customHeight="false" outlineLevel="0" collapsed="false">
      <c r="A500" s="9" t="n">
        <v>499</v>
      </c>
      <c r="B500" s="9" t="s">
        <v>1464</v>
      </c>
      <c r="C500" s="9" t="n">
        <v>0</v>
      </c>
      <c r="D500" s="9"/>
      <c r="E500" s="9"/>
      <c r="F500" s="9" t="s">
        <v>196</v>
      </c>
      <c r="G500" s="9" t="n">
        <v>1</v>
      </c>
      <c r="H500" s="9" t="n">
        <v>0</v>
      </c>
    </row>
    <row r="501" customFormat="false" ht="15" hidden="false" customHeight="false" outlineLevel="0" collapsed="false">
      <c r="A501" s="9" t="n">
        <v>500</v>
      </c>
      <c r="B501" s="9" t="s">
        <v>1465</v>
      </c>
      <c r="C501" s="9" t="n">
        <v>0</v>
      </c>
      <c r="D501" s="9"/>
      <c r="E501" s="9"/>
      <c r="F501" s="9" t="s">
        <v>196</v>
      </c>
      <c r="G501" s="9" t="n">
        <v>7</v>
      </c>
      <c r="H501" s="9" t="n">
        <v>0</v>
      </c>
    </row>
    <row r="502" customFormat="false" ht="15" hidden="false" customHeight="false" outlineLevel="0" collapsed="false">
      <c r="A502" s="9" t="n">
        <v>501</v>
      </c>
      <c r="B502" s="9" t="s">
        <v>1466</v>
      </c>
      <c r="C502" s="9" t="n">
        <v>0</v>
      </c>
      <c r="D502" s="9"/>
      <c r="E502" s="9"/>
      <c r="F502" s="9" t="s">
        <v>196</v>
      </c>
      <c r="G502" s="9" t="n">
        <v>3</v>
      </c>
      <c r="H502" s="9" t="n">
        <v>0</v>
      </c>
    </row>
    <row r="503" customFormat="false" ht="15" hidden="false" customHeight="false" outlineLevel="0" collapsed="false">
      <c r="A503" s="9" t="n">
        <v>502</v>
      </c>
      <c r="B503" s="9" t="s">
        <v>1467</v>
      </c>
      <c r="C503" s="9" t="n">
        <v>0</v>
      </c>
      <c r="D503" s="9"/>
      <c r="E503" s="9"/>
      <c r="F503" s="9" t="s">
        <v>196</v>
      </c>
      <c r="G503" s="9" t="n">
        <v>660</v>
      </c>
      <c r="H503" s="9" t="n">
        <v>0</v>
      </c>
    </row>
    <row r="504" customFormat="false" ht="15" hidden="false" customHeight="false" outlineLevel="0" collapsed="false">
      <c r="A504" s="9" t="n">
        <v>503</v>
      </c>
      <c r="B504" s="9" t="s">
        <v>1468</v>
      </c>
      <c r="C504" s="9" t="n">
        <v>0</v>
      </c>
      <c r="D504" s="9"/>
      <c r="E504" s="9"/>
      <c r="F504" s="9" t="s">
        <v>196</v>
      </c>
      <c r="G504" s="9" t="n">
        <v>538</v>
      </c>
      <c r="H504" s="9" t="n">
        <v>50</v>
      </c>
    </row>
    <row r="505" customFormat="false" ht="15" hidden="false" customHeight="false" outlineLevel="0" collapsed="false">
      <c r="A505" s="9" t="n">
        <v>504</v>
      </c>
      <c r="B505" s="9" t="s">
        <v>1469</v>
      </c>
      <c r="C505" s="9" t="n">
        <v>0</v>
      </c>
      <c r="D505" s="9"/>
      <c r="E505" s="9"/>
      <c r="F505" s="9" t="s">
        <v>196</v>
      </c>
      <c r="G505" s="9" t="n">
        <v>2</v>
      </c>
      <c r="H505" s="9" t="n">
        <v>0</v>
      </c>
    </row>
    <row r="506" customFormat="false" ht="15" hidden="false" customHeight="false" outlineLevel="0" collapsed="false">
      <c r="A506" s="9" t="n">
        <v>505</v>
      </c>
      <c r="B506" s="9" t="s">
        <v>1470</v>
      </c>
      <c r="C506" s="9" t="n">
        <v>0</v>
      </c>
      <c r="D506" s="9"/>
      <c r="E506" s="9"/>
      <c r="F506" s="9" t="s">
        <v>196</v>
      </c>
      <c r="G506" s="9" t="n">
        <v>10</v>
      </c>
      <c r="H506" s="9" t="n">
        <v>0</v>
      </c>
    </row>
    <row r="507" customFormat="false" ht="15" hidden="false" customHeight="false" outlineLevel="0" collapsed="false">
      <c r="A507" s="9" t="n">
        <v>506</v>
      </c>
      <c r="B507" s="9" t="s">
        <v>1471</v>
      </c>
      <c r="C507" s="9" t="n">
        <v>0</v>
      </c>
      <c r="D507" s="9"/>
      <c r="E507" s="9"/>
      <c r="F507" s="9" t="s">
        <v>196</v>
      </c>
      <c r="G507" s="9" t="n">
        <v>84</v>
      </c>
      <c r="H507" s="9" t="n">
        <v>0</v>
      </c>
    </row>
    <row r="508" customFormat="false" ht="15" hidden="false" customHeight="false" outlineLevel="0" collapsed="false">
      <c r="A508" s="9" t="n">
        <v>507</v>
      </c>
      <c r="B508" s="9" t="s">
        <v>1472</v>
      </c>
      <c r="C508" s="9" t="n">
        <v>0</v>
      </c>
      <c r="D508" s="9"/>
      <c r="E508" s="9"/>
      <c r="F508" s="9" t="s">
        <v>196</v>
      </c>
      <c r="G508" s="9" t="n">
        <v>54</v>
      </c>
      <c r="H508" s="9" t="n">
        <v>0</v>
      </c>
    </row>
    <row r="509" customFormat="false" ht="15" hidden="false" customHeight="false" outlineLevel="0" collapsed="false">
      <c r="A509" s="9" t="n">
        <v>508</v>
      </c>
      <c r="B509" s="9" t="s">
        <v>1473</v>
      </c>
      <c r="C509" s="9" t="n">
        <v>0</v>
      </c>
      <c r="D509" s="9"/>
      <c r="E509" s="9"/>
      <c r="F509" s="9" t="s">
        <v>196</v>
      </c>
      <c r="G509" s="9" t="n">
        <v>4</v>
      </c>
      <c r="H509" s="9" t="n">
        <v>0</v>
      </c>
    </row>
    <row r="510" customFormat="false" ht="15" hidden="false" customHeight="false" outlineLevel="0" collapsed="false">
      <c r="A510" s="9" t="n">
        <v>509</v>
      </c>
      <c r="B510" s="9" t="s">
        <v>1474</v>
      </c>
      <c r="C510" s="9" t="n">
        <v>0</v>
      </c>
      <c r="D510" s="9"/>
      <c r="E510" s="9"/>
      <c r="F510" s="9" t="s">
        <v>196</v>
      </c>
      <c r="G510" s="9" t="n">
        <v>1000</v>
      </c>
      <c r="H510" s="9" t="n">
        <v>50</v>
      </c>
    </row>
    <row r="511" customFormat="false" ht="15" hidden="false" customHeight="false" outlineLevel="0" collapsed="false">
      <c r="A511" s="9" t="n">
        <v>510</v>
      </c>
      <c r="B511" s="9" t="s">
        <v>1475</v>
      </c>
      <c r="C511" s="9" t="n">
        <v>0</v>
      </c>
      <c r="D511" s="9"/>
      <c r="E511" s="9"/>
      <c r="F511" s="9" t="s">
        <v>196</v>
      </c>
      <c r="G511" s="9" t="n">
        <v>300</v>
      </c>
      <c r="H511" s="9" t="n">
        <v>50</v>
      </c>
    </row>
    <row r="512" customFormat="false" ht="15" hidden="false" customHeight="false" outlineLevel="0" collapsed="false">
      <c r="A512" s="9" t="n">
        <v>511</v>
      </c>
      <c r="B512" s="9" t="s">
        <v>1476</v>
      </c>
      <c r="C512" s="9" t="n">
        <v>0</v>
      </c>
      <c r="D512" s="9"/>
      <c r="E512" s="9"/>
      <c r="F512" s="9" t="s">
        <v>196</v>
      </c>
      <c r="G512" s="9" t="n">
        <v>50</v>
      </c>
      <c r="H512" s="9" t="n">
        <v>0</v>
      </c>
    </row>
    <row r="513" customFormat="false" ht="15" hidden="false" customHeight="false" outlineLevel="0" collapsed="false">
      <c r="A513" s="9" t="n">
        <v>512</v>
      </c>
      <c r="B513" s="9" t="s">
        <v>1477</v>
      </c>
      <c r="C513" s="9" t="n">
        <v>0</v>
      </c>
      <c r="D513" s="9"/>
      <c r="E513" s="9"/>
      <c r="F513" s="9" t="s">
        <v>196</v>
      </c>
      <c r="G513" s="9" t="n">
        <v>12</v>
      </c>
      <c r="H513" s="9" t="n">
        <v>0</v>
      </c>
    </row>
    <row r="514" customFormat="false" ht="15" hidden="false" customHeight="false" outlineLevel="0" collapsed="false">
      <c r="A514" s="9" t="n">
        <v>513</v>
      </c>
      <c r="B514" s="9" t="s">
        <v>1478</v>
      </c>
      <c r="C514" s="9" t="n">
        <v>0</v>
      </c>
      <c r="D514" s="9"/>
      <c r="E514" s="9"/>
      <c r="F514" s="9" t="s">
        <v>196</v>
      </c>
      <c r="G514" s="9" t="n">
        <v>1</v>
      </c>
      <c r="H514" s="9" t="n">
        <v>0</v>
      </c>
    </row>
    <row r="515" customFormat="false" ht="15" hidden="false" customHeight="false" outlineLevel="0" collapsed="false">
      <c r="A515" s="9" t="n">
        <v>514</v>
      </c>
      <c r="B515" s="9" t="s">
        <v>1479</v>
      </c>
      <c r="C515" s="9" t="n">
        <v>0</v>
      </c>
      <c r="D515" s="9"/>
      <c r="E515" s="9"/>
      <c r="F515" s="9" t="s">
        <v>196</v>
      </c>
      <c r="G515" s="9" t="n">
        <v>1</v>
      </c>
      <c r="H515" s="9" t="n">
        <v>0</v>
      </c>
    </row>
    <row r="516" customFormat="false" ht="15" hidden="false" customHeight="false" outlineLevel="0" collapsed="false">
      <c r="A516" s="9" t="n">
        <v>515</v>
      </c>
      <c r="B516" s="9" t="s">
        <v>1480</v>
      </c>
      <c r="C516" s="9" t="n">
        <v>0</v>
      </c>
      <c r="D516" s="9"/>
      <c r="E516" s="9"/>
      <c r="F516" s="9" t="s">
        <v>196</v>
      </c>
      <c r="G516" s="9" t="n">
        <v>1</v>
      </c>
      <c r="H516" s="9" t="n">
        <v>0</v>
      </c>
    </row>
    <row r="517" customFormat="false" ht="15" hidden="false" customHeight="false" outlineLevel="0" collapsed="false">
      <c r="A517" s="9" t="n">
        <v>516</v>
      </c>
      <c r="B517" s="9" t="s">
        <v>1481</v>
      </c>
      <c r="C517" s="9" t="n">
        <v>0</v>
      </c>
      <c r="D517" s="9"/>
      <c r="E517" s="9"/>
      <c r="F517" s="9" t="s">
        <v>196</v>
      </c>
      <c r="G517" s="9" t="n">
        <v>1</v>
      </c>
      <c r="H517" s="9" t="n">
        <v>0</v>
      </c>
    </row>
    <row r="518" customFormat="false" ht="15" hidden="false" customHeight="false" outlineLevel="0" collapsed="false">
      <c r="A518" s="9" t="n">
        <v>517</v>
      </c>
      <c r="B518" s="9" t="s">
        <v>1482</v>
      </c>
      <c r="C518" s="9" t="n">
        <v>0</v>
      </c>
      <c r="D518" s="9"/>
      <c r="E518" s="9"/>
      <c r="F518" s="9" t="s">
        <v>196</v>
      </c>
      <c r="G518" s="9" t="n">
        <v>5</v>
      </c>
      <c r="H518" s="9" t="n">
        <v>0</v>
      </c>
    </row>
    <row r="519" customFormat="false" ht="15" hidden="false" customHeight="false" outlineLevel="0" collapsed="false">
      <c r="A519" s="9" t="n">
        <v>518</v>
      </c>
      <c r="B519" s="9" t="s">
        <v>1483</v>
      </c>
      <c r="C519" s="9" t="n">
        <v>0</v>
      </c>
      <c r="D519" s="9"/>
      <c r="E519" s="9"/>
      <c r="F519" s="9" t="s">
        <v>196</v>
      </c>
      <c r="G519" s="9" t="n">
        <v>60</v>
      </c>
      <c r="H519" s="9" t="n">
        <v>0</v>
      </c>
    </row>
    <row r="520" customFormat="false" ht="15" hidden="false" customHeight="false" outlineLevel="0" collapsed="false">
      <c r="A520" s="9" t="n">
        <v>519</v>
      </c>
      <c r="B520" s="9" t="s">
        <v>1484</v>
      </c>
      <c r="C520" s="9" t="n">
        <v>0</v>
      </c>
      <c r="D520" s="9"/>
      <c r="E520" s="9"/>
      <c r="F520" s="9" t="s">
        <v>196</v>
      </c>
      <c r="G520" s="9" t="n">
        <v>244</v>
      </c>
      <c r="H520" s="9" t="n">
        <v>0</v>
      </c>
    </row>
    <row r="521" customFormat="false" ht="15" hidden="false" customHeight="false" outlineLevel="0" collapsed="false">
      <c r="A521" s="9" t="n">
        <v>520</v>
      </c>
      <c r="B521" s="9" t="s">
        <v>1485</v>
      </c>
      <c r="C521" s="9" t="n">
        <v>0</v>
      </c>
      <c r="D521" s="9"/>
      <c r="E521" s="9"/>
      <c r="F521" s="9" t="s">
        <v>196</v>
      </c>
      <c r="G521" s="9" t="n">
        <v>83</v>
      </c>
      <c r="H521" s="9" t="n">
        <v>50</v>
      </c>
    </row>
    <row r="522" customFormat="false" ht="15" hidden="false" customHeight="false" outlineLevel="0" collapsed="false">
      <c r="A522" s="9" t="n">
        <v>521</v>
      </c>
      <c r="B522" s="9" t="s">
        <v>1486</v>
      </c>
      <c r="C522" s="9" t="n">
        <v>0</v>
      </c>
      <c r="D522" s="9"/>
      <c r="E522" s="9"/>
      <c r="F522" s="9" t="s">
        <v>196</v>
      </c>
      <c r="G522" s="9" t="n">
        <v>27</v>
      </c>
      <c r="H522" s="9" t="n">
        <v>50</v>
      </c>
    </row>
    <row r="523" customFormat="false" ht="15" hidden="false" customHeight="false" outlineLevel="0" collapsed="false">
      <c r="A523" s="9" t="n">
        <v>522</v>
      </c>
      <c r="B523" s="9" t="s">
        <v>1487</v>
      </c>
      <c r="C523" s="9" t="n">
        <v>0</v>
      </c>
      <c r="D523" s="9"/>
      <c r="E523" s="9"/>
      <c r="F523" s="9" t="s">
        <v>196</v>
      </c>
      <c r="G523" s="9" t="n">
        <v>50</v>
      </c>
      <c r="H523" s="9" t="n">
        <v>0</v>
      </c>
    </row>
    <row r="524" customFormat="false" ht="15" hidden="false" customHeight="false" outlineLevel="0" collapsed="false">
      <c r="A524" s="9" t="n">
        <v>523</v>
      </c>
      <c r="B524" s="9" t="s">
        <v>1488</v>
      </c>
      <c r="C524" s="9" t="n">
        <v>0</v>
      </c>
      <c r="D524" s="9"/>
      <c r="E524" s="9"/>
      <c r="F524" s="9" t="s">
        <v>196</v>
      </c>
      <c r="G524" s="9" t="n">
        <v>100</v>
      </c>
      <c r="H524" s="9" t="n">
        <v>0</v>
      </c>
    </row>
    <row r="525" customFormat="false" ht="15" hidden="false" customHeight="false" outlineLevel="0" collapsed="false">
      <c r="A525" s="9" t="n">
        <v>524</v>
      </c>
      <c r="B525" s="9" t="s">
        <v>1489</v>
      </c>
      <c r="C525" s="9" t="n">
        <v>0</v>
      </c>
      <c r="D525" s="9"/>
      <c r="E525" s="9"/>
      <c r="F525" s="9" t="s">
        <v>196</v>
      </c>
      <c r="G525" s="9" t="n">
        <v>174</v>
      </c>
      <c r="H525" s="9" t="n">
        <v>50</v>
      </c>
    </row>
    <row r="526" customFormat="false" ht="15" hidden="false" customHeight="false" outlineLevel="0" collapsed="false">
      <c r="A526" s="9" t="n">
        <v>525</v>
      </c>
      <c r="B526" s="9" t="s">
        <v>1490</v>
      </c>
      <c r="C526" s="9" t="n">
        <v>0</v>
      </c>
      <c r="D526" s="9"/>
      <c r="E526" s="9"/>
      <c r="F526" s="9" t="s">
        <v>196</v>
      </c>
      <c r="G526" s="9" t="n">
        <v>500</v>
      </c>
      <c r="H526" s="9" t="n">
        <v>0</v>
      </c>
    </row>
    <row r="527" customFormat="false" ht="15" hidden="false" customHeight="false" outlineLevel="0" collapsed="false">
      <c r="A527" s="9" t="n">
        <v>526</v>
      </c>
      <c r="B527" s="9" t="s">
        <v>1491</v>
      </c>
      <c r="C527" s="9" t="n">
        <v>0</v>
      </c>
      <c r="D527" s="9"/>
      <c r="E527" s="9"/>
      <c r="F527" s="9" t="s">
        <v>196</v>
      </c>
      <c r="G527" s="9" t="n">
        <v>500</v>
      </c>
      <c r="H527" s="9" t="n">
        <v>0</v>
      </c>
    </row>
    <row r="528" customFormat="false" ht="15" hidden="false" customHeight="false" outlineLevel="0" collapsed="false">
      <c r="A528" s="9" t="n">
        <v>527</v>
      </c>
      <c r="B528" s="9" t="s">
        <v>1492</v>
      </c>
      <c r="C528" s="9" t="n">
        <v>0</v>
      </c>
      <c r="D528" s="9"/>
      <c r="E528" s="9"/>
      <c r="F528" s="9" t="s">
        <v>196</v>
      </c>
      <c r="G528" s="9" t="n">
        <v>1</v>
      </c>
      <c r="H528" s="9" t="n">
        <v>0</v>
      </c>
    </row>
    <row r="529" customFormat="false" ht="15" hidden="false" customHeight="false" outlineLevel="0" collapsed="false">
      <c r="A529" s="9" t="n">
        <v>528</v>
      </c>
      <c r="B529" s="9" t="s">
        <v>1493</v>
      </c>
      <c r="C529" s="9" t="n">
        <v>0</v>
      </c>
      <c r="D529" s="9"/>
      <c r="E529" s="9"/>
      <c r="F529" s="9" t="s">
        <v>196</v>
      </c>
      <c r="G529" s="9" t="n">
        <v>1</v>
      </c>
      <c r="H529" s="9" t="n">
        <v>0</v>
      </c>
    </row>
    <row r="530" customFormat="false" ht="15" hidden="false" customHeight="false" outlineLevel="0" collapsed="false">
      <c r="A530" s="9" t="n">
        <v>529</v>
      </c>
      <c r="B530" s="9" t="s">
        <v>1494</v>
      </c>
      <c r="C530" s="9" t="n">
        <v>0</v>
      </c>
      <c r="D530" s="9"/>
      <c r="E530" s="9"/>
      <c r="F530" s="9" t="s">
        <v>196</v>
      </c>
      <c r="G530" s="9" t="n">
        <v>30</v>
      </c>
      <c r="H530" s="9" t="n">
        <v>50</v>
      </c>
    </row>
    <row r="531" customFormat="false" ht="15" hidden="false" customHeight="false" outlineLevel="0" collapsed="false">
      <c r="A531" s="9" t="n">
        <v>530</v>
      </c>
      <c r="B531" s="9" t="s">
        <v>1495</v>
      </c>
      <c r="C531" s="9" t="n">
        <v>0</v>
      </c>
      <c r="D531" s="9"/>
      <c r="E531" s="9"/>
      <c r="F531" s="9" t="s">
        <v>196</v>
      </c>
      <c r="G531" s="9" t="n">
        <v>13</v>
      </c>
      <c r="H531" s="9" t="n">
        <v>50</v>
      </c>
    </row>
    <row r="532" customFormat="false" ht="15" hidden="false" customHeight="false" outlineLevel="0" collapsed="false">
      <c r="A532" s="9" t="n">
        <v>531</v>
      </c>
      <c r="B532" s="9" t="s">
        <v>1496</v>
      </c>
      <c r="C532" s="9" t="n">
        <v>0</v>
      </c>
      <c r="D532" s="9"/>
      <c r="E532" s="9"/>
      <c r="F532" s="9" t="s">
        <v>196</v>
      </c>
      <c r="G532" s="9" t="n">
        <v>1</v>
      </c>
      <c r="H532" s="9" t="n">
        <v>0</v>
      </c>
    </row>
    <row r="533" customFormat="false" ht="15" hidden="false" customHeight="false" outlineLevel="0" collapsed="false">
      <c r="A533" s="9" t="n">
        <v>532</v>
      </c>
      <c r="B533" s="9" t="s">
        <v>1497</v>
      </c>
      <c r="C533" s="9" t="n">
        <v>0</v>
      </c>
      <c r="D533" s="9"/>
      <c r="E533" s="9"/>
      <c r="F533" s="9" t="s">
        <v>196</v>
      </c>
      <c r="G533" s="9" t="n">
        <v>4</v>
      </c>
      <c r="H533" s="9" t="n">
        <v>50</v>
      </c>
    </row>
    <row r="534" customFormat="false" ht="15" hidden="false" customHeight="false" outlineLevel="0" collapsed="false">
      <c r="A534" s="9" t="n">
        <v>533</v>
      </c>
      <c r="B534" s="9" t="s">
        <v>1498</v>
      </c>
      <c r="C534" s="9" t="n">
        <v>0</v>
      </c>
      <c r="D534" s="9"/>
      <c r="E534" s="9"/>
      <c r="F534" s="9" t="s">
        <v>196</v>
      </c>
      <c r="G534" s="9" t="n">
        <v>21</v>
      </c>
      <c r="H534" s="9" t="n">
        <v>50</v>
      </c>
    </row>
    <row r="535" customFormat="false" ht="15" hidden="false" customHeight="false" outlineLevel="0" collapsed="false">
      <c r="A535" s="9" t="n">
        <v>534</v>
      </c>
      <c r="B535" s="9" t="s">
        <v>1499</v>
      </c>
      <c r="C535" s="9" t="n">
        <v>0</v>
      </c>
      <c r="D535" s="9"/>
      <c r="E535" s="9"/>
      <c r="F535" s="9" t="s">
        <v>196</v>
      </c>
      <c r="G535" s="9" t="n">
        <v>11</v>
      </c>
      <c r="H535" s="9" t="n">
        <v>50</v>
      </c>
    </row>
    <row r="536" customFormat="false" ht="15" hidden="false" customHeight="false" outlineLevel="0" collapsed="false">
      <c r="A536" s="9" t="n">
        <v>535</v>
      </c>
      <c r="B536" s="9" t="s">
        <v>1500</v>
      </c>
      <c r="C536" s="9" t="n">
        <v>0</v>
      </c>
      <c r="D536" s="9"/>
      <c r="E536" s="9"/>
      <c r="F536" s="9" t="s">
        <v>196</v>
      </c>
      <c r="G536" s="9" t="n">
        <v>1</v>
      </c>
      <c r="H536" s="9" t="n">
        <v>0</v>
      </c>
    </row>
    <row r="537" customFormat="false" ht="15" hidden="false" customHeight="false" outlineLevel="0" collapsed="false">
      <c r="A537" s="9" t="n">
        <v>536</v>
      </c>
      <c r="B537" s="9" t="s">
        <v>1501</v>
      </c>
      <c r="C537" s="9" t="n">
        <v>0</v>
      </c>
      <c r="D537" s="9"/>
      <c r="E537" s="9"/>
      <c r="F537" s="9" t="s">
        <v>196</v>
      </c>
      <c r="G537" s="9" t="n">
        <v>1</v>
      </c>
      <c r="H537" s="9" t="n">
        <v>0</v>
      </c>
    </row>
    <row r="538" customFormat="false" ht="15" hidden="false" customHeight="false" outlineLevel="0" collapsed="false">
      <c r="A538" s="9" t="n">
        <v>537</v>
      </c>
      <c r="B538" s="9" t="s">
        <v>1502</v>
      </c>
      <c r="C538" s="9" t="n">
        <v>0</v>
      </c>
      <c r="D538" s="9"/>
      <c r="E538" s="9"/>
      <c r="F538" s="9" t="s">
        <v>196</v>
      </c>
      <c r="G538" s="9" t="n">
        <v>2</v>
      </c>
      <c r="H538" s="9" t="n">
        <v>50</v>
      </c>
    </row>
    <row r="539" customFormat="false" ht="15" hidden="false" customHeight="false" outlineLevel="0" collapsed="false">
      <c r="A539" s="9" t="n">
        <v>538</v>
      </c>
      <c r="B539" s="9" t="s">
        <v>1503</v>
      </c>
      <c r="C539" s="9" t="n">
        <v>0</v>
      </c>
      <c r="D539" s="9"/>
      <c r="E539" s="9"/>
      <c r="F539" s="9" t="s">
        <v>196</v>
      </c>
      <c r="G539" s="9" t="n">
        <v>3</v>
      </c>
      <c r="H539" s="9" t="n">
        <v>50</v>
      </c>
    </row>
    <row r="540" customFormat="false" ht="15" hidden="false" customHeight="false" outlineLevel="0" collapsed="false">
      <c r="A540" s="9" t="n">
        <v>539</v>
      </c>
      <c r="B540" s="9" t="s">
        <v>1504</v>
      </c>
      <c r="C540" s="9" t="n">
        <v>0</v>
      </c>
      <c r="D540" s="9"/>
      <c r="E540" s="9"/>
      <c r="F540" s="9" t="s">
        <v>196</v>
      </c>
      <c r="G540" s="9" t="n">
        <v>9</v>
      </c>
      <c r="H540" s="9" t="n">
        <v>50</v>
      </c>
    </row>
    <row r="541" customFormat="false" ht="15" hidden="false" customHeight="false" outlineLevel="0" collapsed="false">
      <c r="A541" s="9" t="n">
        <v>540</v>
      </c>
      <c r="B541" s="9" t="s">
        <v>1505</v>
      </c>
      <c r="C541" s="9" t="n">
        <v>0</v>
      </c>
      <c r="D541" s="9"/>
      <c r="E541" s="9"/>
      <c r="F541" s="9" t="s">
        <v>196</v>
      </c>
      <c r="G541" s="9" t="n">
        <v>1</v>
      </c>
      <c r="H541" s="9" t="n">
        <v>0</v>
      </c>
    </row>
    <row r="542" customFormat="false" ht="15" hidden="false" customHeight="false" outlineLevel="0" collapsed="false">
      <c r="A542" s="9" t="n">
        <v>541</v>
      </c>
      <c r="B542" s="9" t="s">
        <v>1506</v>
      </c>
      <c r="C542" s="9" t="n">
        <v>0</v>
      </c>
      <c r="D542" s="9"/>
      <c r="E542" s="9"/>
      <c r="F542" s="9" t="s">
        <v>196</v>
      </c>
      <c r="G542" s="9" t="n">
        <v>1</v>
      </c>
      <c r="H542" s="9" t="n">
        <v>0</v>
      </c>
    </row>
    <row r="543" customFormat="false" ht="15" hidden="false" customHeight="false" outlineLevel="0" collapsed="false">
      <c r="A543" s="9" t="n">
        <v>542</v>
      </c>
      <c r="B543" s="9" t="s">
        <v>1507</v>
      </c>
      <c r="C543" s="9" t="n">
        <v>0</v>
      </c>
      <c r="D543" s="9"/>
      <c r="E543" s="9"/>
      <c r="F543" s="9" t="s">
        <v>196</v>
      </c>
      <c r="G543" s="9" t="n">
        <v>1</v>
      </c>
      <c r="H543" s="9" t="n">
        <v>0</v>
      </c>
    </row>
    <row r="544" customFormat="false" ht="15" hidden="false" customHeight="false" outlineLevel="0" collapsed="false">
      <c r="A544" s="9" t="n">
        <v>543</v>
      </c>
      <c r="B544" s="9" t="s">
        <v>1508</v>
      </c>
      <c r="C544" s="9" t="n">
        <v>0</v>
      </c>
      <c r="D544" s="9"/>
      <c r="E544" s="9"/>
      <c r="F544" s="9" t="s">
        <v>196</v>
      </c>
      <c r="G544" s="9" t="n">
        <v>14</v>
      </c>
      <c r="H544" s="9" t="n">
        <v>0</v>
      </c>
    </row>
    <row r="545" customFormat="false" ht="15" hidden="false" customHeight="false" outlineLevel="0" collapsed="false">
      <c r="A545" s="9" t="n">
        <v>544</v>
      </c>
      <c r="B545" s="9" t="s">
        <v>1509</v>
      </c>
      <c r="C545" s="9" t="n">
        <v>0</v>
      </c>
      <c r="D545" s="9"/>
      <c r="E545" s="9"/>
      <c r="F545" s="9" t="s">
        <v>196</v>
      </c>
      <c r="G545" s="9" t="n">
        <v>13</v>
      </c>
      <c r="H545" s="9" t="n">
        <v>0</v>
      </c>
    </row>
    <row r="546" customFormat="false" ht="15" hidden="false" customHeight="false" outlineLevel="0" collapsed="false">
      <c r="A546" s="9" t="n">
        <v>545</v>
      </c>
      <c r="B546" s="9" t="s">
        <v>1510</v>
      </c>
      <c r="C546" s="9" t="n">
        <v>0</v>
      </c>
      <c r="D546" s="9"/>
      <c r="E546" s="9"/>
      <c r="F546" s="9" t="s">
        <v>196</v>
      </c>
      <c r="G546" s="9" t="n">
        <v>1</v>
      </c>
      <c r="H546" s="9" t="n">
        <v>0</v>
      </c>
    </row>
    <row r="547" customFormat="false" ht="15" hidden="false" customHeight="false" outlineLevel="0" collapsed="false">
      <c r="A547" s="9" t="n">
        <v>546</v>
      </c>
      <c r="B547" s="9" t="s">
        <v>1511</v>
      </c>
      <c r="C547" s="9" t="n">
        <v>0</v>
      </c>
      <c r="D547" s="9"/>
      <c r="E547" s="9"/>
      <c r="F547" s="9" t="s">
        <v>196</v>
      </c>
      <c r="G547" s="9" t="n">
        <v>8</v>
      </c>
      <c r="H547" s="9" t="n">
        <v>50</v>
      </c>
    </row>
    <row r="548" customFormat="false" ht="15" hidden="false" customHeight="false" outlineLevel="0" collapsed="false">
      <c r="A548" s="9" t="n">
        <v>547</v>
      </c>
      <c r="B548" s="9" t="s">
        <v>1512</v>
      </c>
      <c r="C548" s="9" t="n">
        <v>0</v>
      </c>
      <c r="D548" s="9"/>
      <c r="E548" s="9"/>
      <c r="F548" s="9" t="s">
        <v>196</v>
      </c>
      <c r="G548" s="9" t="n">
        <v>211</v>
      </c>
      <c r="H548" s="9" t="n">
        <v>0</v>
      </c>
    </row>
    <row r="549" customFormat="false" ht="15" hidden="false" customHeight="false" outlineLevel="0" collapsed="false">
      <c r="A549" s="9" t="n">
        <v>548</v>
      </c>
      <c r="B549" s="9" t="s">
        <v>1513</v>
      </c>
      <c r="C549" s="9" t="n">
        <v>0</v>
      </c>
      <c r="D549" s="9"/>
      <c r="E549" s="9"/>
      <c r="F549" s="9" t="s">
        <v>196</v>
      </c>
      <c r="G549" s="9" t="n">
        <v>99</v>
      </c>
      <c r="H549" s="9" t="n">
        <v>0</v>
      </c>
    </row>
    <row r="550" customFormat="false" ht="15" hidden="false" customHeight="false" outlineLevel="0" collapsed="false">
      <c r="A550" s="9" t="n">
        <v>549</v>
      </c>
      <c r="B550" s="9" t="s">
        <v>1514</v>
      </c>
      <c r="C550" s="9" t="n">
        <v>0</v>
      </c>
      <c r="D550" s="9"/>
      <c r="E550" s="9"/>
      <c r="F550" s="9" t="s">
        <v>196</v>
      </c>
      <c r="G550" s="9" t="n">
        <v>1</v>
      </c>
      <c r="H550" s="9" t="n">
        <v>0</v>
      </c>
    </row>
    <row r="551" customFormat="false" ht="15" hidden="false" customHeight="false" outlineLevel="0" collapsed="false">
      <c r="A551" s="9" t="n">
        <v>550</v>
      </c>
      <c r="B551" s="9" t="s">
        <v>1515</v>
      </c>
      <c r="C551" s="9" t="n">
        <v>0</v>
      </c>
      <c r="D551" s="9"/>
      <c r="E551" s="9"/>
      <c r="F551" s="9" t="s">
        <v>196</v>
      </c>
      <c r="G551" s="9" t="n">
        <v>1</v>
      </c>
      <c r="H551" s="9" t="n">
        <v>0</v>
      </c>
    </row>
    <row r="552" customFormat="false" ht="15" hidden="false" customHeight="false" outlineLevel="0" collapsed="false">
      <c r="A552" s="9" t="n">
        <v>551</v>
      </c>
      <c r="B552" s="9" t="s">
        <v>1516</v>
      </c>
      <c r="C552" s="9" t="n">
        <v>0</v>
      </c>
      <c r="D552" s="9"/>
      <c r="E552" s="9"/>
      <c r="F552" s="9" t="s">
        <v>196</v>
      </c>
      <c r="G552" s="9" t="n">
        <v>4</v>
      </c>
      <c r="H552" s="9" t="n">
        <v>0</v>
      </c>
    </row>
    <row r="553" customFormat="false" ht="15" hidden="false" customHeight="false" outlineLevel="0" collapsed="false">
      <c r="A553" s="9" t="n">
        <v>552</v>
      </c>
      <c r="B553" s="9" t="s">
        <v>1517</v>
      </c>
      <c r="C553" s="9" t="n">
        <v>0</v>
      </c>
      <c r="D553" s="9"/>
      <c r="E553" s="9"/>
      <c r="F553" s="9" t="s">
        <v>196</v>
      </c>
      <c r="G553" s="9" t="n">
        <v>4</v>
      </c>
      <c r="H553" s="9" t="n">
        <v>0</v>
      </c>
    </row>
    <row r="554" customFormat="false" ht="15" hidden="false" customHeight="false" outlineLevel="0" collapsed="false">
      <c r="A554" s="9" t="n">
        <v>553</v>
      </c>
      <c r="B554" s="9" t="s">
        <v>1518</v>
      </c>
      <c r="C554" s="9" t="n">
        <v>0</v>
      </c>
      <c r="D554" s="9"/>
      <c r="E554" s="9"/>
      <c r="F554" s="9" t="s">
        <v>196</v>
      </c>
      <c r="G554" s="9" t="n">
        <v>31</v>
      </c>
      <c r="H554" s="9" t="n">
        <v>50</v>
      </c>
    </row>
    <row r="555" customFormat="false" ht="15" hidden="false" customHeight="false" outlineLevel="0" collapsed="false">
      <c r="A555" s="9" t="n">
        <v>554</v>
      </c>
      <c r="B555" s="9" t="s">
        <v>1519</v>
      </c>
      <c r="C555" s="9" t="n">
        <v>0</v>
      </c>
      <c r="D555" s="9"/>
      <c r="E555" s="9"/>
      <c r="F555" s="9" t="s">
        <v>196</v>
      </c>
      <c r="G555" s="9" t="n">
        <v>14</v>
      </c>
      <c r="H555" s="9" t="n">
        <v>50</v>
      </c>
    </row>
    <row r="556" customFormat="false" ht="15" hidden="false" customHeight="false" outlineLevel="0" collapsed="false">
      <c r="A556" s="9" t="n">
        <v>555</v>
      </c>
      <c r="B556" s="9" t="s">
        <v>1520</v>
      </c>
      <c r="C556" s="9" t="n">
        <v>0</v>
      </c>
      <c r="D556" s="9"/>
      <c r="E556" s="9"/>
      <c r="F556" s="9" t="s">
        <v>196</v>
      </c>
      <c r="G556" s="9" t="n">
        <v>8</v>
      </c>
      <c r="H556" s="9" t="n">
        <v>0</v>
      </c>
    </row>
    <row r="557" customFormat="false" ht="15" hidden="false" customHeight="false" outlineLevel="0" collapsed="false">
      <c r="A557" s="9" t="n">
        <v>556</v>
      </c>
      <c r="B557" s="9" t="s">
        <v>1521</v>
      </c>
      <c r="C557" s="9" t="n">
        <v>0</v>
      </c>
      <c r="D557" s="9"/>
      <c r="E557" s="9"/>
      <c r="F557" s="9" t="s">
        <v>196</v>
      </c>
      <c r="G557" s="9" t="n">
        <v>3</v>
      </c>
      <c r="H557" s="9" t="n">
        <v>0</v>
      </c>
    </row>
  </sheetData>
  <conditionalFormatting sqref="F2:F557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2026-07-09T16:17:29Z</dcterms:created>
  <dc:creator>openpyxl</dc:creator>
  <dc:description/>
  <dc:language>en-US</dc:language>
  <cp:lastModifiedBy/>
  <dcterms:modified xsi:type="dcterms:W3CDTF">2026-07-09T16:17:29Z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